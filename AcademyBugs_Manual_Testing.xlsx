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cenarios" sheetId="1" state="visible" r:id="rId1"/>
    <sheet xmlns:r="http://schemas.openxmlformats.org/officeDocument/2006/relationships" name="Test Cases" sheetId="2" state="visible" r:id="rId2"/>
    <sheet xmlns:r="http://schemas.openxmlformats.org/officeDocument/2006/relationships" name="Defect Report" sheetId="3" state="visible" r:id="rId3"/>
  </sheets>
  <definedNames>
    <definedName name="_xlnm._FilterDatabase" localSheetId="0" hidden="1">'Test Scenarios'!$A$1:$H$27</definedName>
    <definedName name="_xlnm._FilterDatabase" localSheetId="1" hidden="1">'Test Cases'!$A$1:$M$51</definedName>
    <definedName name="_xlnm._FilterDatabase" localSheetId="2" hidden="1">'Defect Report'!$A$1:$Q$26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991B1B"/>
      <sz val="10"/>
    </font>
    <font>
      <name val="Calibri"/>
      <b val="1"/>
      <color rgb="009A3412"/>
      <sz val="10"/>
    </font>
    <font>
      <name val="Calibri"/>
      <b val="1"/>
      <color rgb="00854D0E"/>
      <sz val="10"/>
    </font>
    <font>
      <name val="Calibri"/>
      <b val="1"/>
      <color rgb="00166534"/>
      <sz val="10"/>
    </font>
    <font>
      <name val="Calibri"/>
      <b val="1"/>
      <color rgb="001E40AF"/>
      <sz val="10"/>
    </font>
    <font>
      <name val="Calibri"/>
      <b val="1"/>
      <color rgb="001B365D"/>
      <sz val="9.5"/>
      <u val="single"/>
    </font>
  </fonts>
  <fills count="9">
    <fill>
      <patternFill/>
    </fill>
    <fill>
      <patternFill patternType="gray125"/>
    </fill>
    <fill>
      <patternFill patternType="solid">
        <fgColor rgb="001B365D"/>
        <bgColor rgb="001B365D"/>
      </patternFill>
    </fill>
    <fill>
      <patternFill patternType="solid">
        <fgColor rgb="00FEE2E2"/>
        <bgColor rgb="00FEE2E2"/>
      </patternFill>
    </fill>
    <fill>
      <patternFill patternType="solid">
        <fgColor rgb="00F8FAFC"/>
        <bgColor rgb="00F8FAFC"/>
      </patternFill>
    </fill>
    <fill>
      <patternFill patternType="solid">
        <fgColor rgb="00FFEDD5"/>
        <bgColor rgb="00FFEDD5"/>
      </patternFill>
    </fill>
    <fill>
      <patternFill patternType="solid">
        <fgColor rgb="00FEF9C3"/>
        <bgColor rgb="00FEF9C3"/>
      </patternFill>
    </fill>
    <fill>
      <patternFill patternType="solid">
        <fgColor rgb="00DCFCE7"/>
        <bgColor rgb="00DCFCE7"/>
      </patternFill>
    </fill>
    <fill>
      <patternFill patternType="solid">
        <fgColor rgb="00EFF6FF"/>
        <b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top" wrapText="1"/>
    </xf>
    <xf numFmtId="0" fontId="3" fillId="3"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top" wrapText="1"/>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8" fillId="0" borderId="1" applyAlignment="1" pivotButton="0" quotePrefix="0" xfId="0">
      <alignment horizontal="center" vertical="bottom" wrapText="1"/>
    </xf>
    <xf numFmtId="0" fontId="8" fillId="4" borderId="1"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s>
</file>

<file path=xl/drawings/drawing1.xml><?xml version="1.0" encoding="utf-8"?>
<wsDr xmlns="http://schemas.openxmlformats.org/drawingml/2006/spreadsheetDrawing">
  <oneCellAnchor>
    <from>
      <col>15</col>
      <colOff>0</colOff>
      <row>1</row>
      <rowOff>0</rowOff>
    </from>
    <ext cx="95250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15</col>
      <colOff>0</colOff>
      <row>2</row>
      <rowOff>0</rowOff>
    </from>
    <ext cx="952500" cy="514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15</col>
      <colOff>0</colOff>
      <row>3</row>
      <rowOff>0</rowOff>
    </from>
    <ext cx="952500" cy="5143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15</col>
      <colOff>0</colOff>
      <row>4</row>
      <rowOff>0</rowOff>
    </from>
    <ext cx="952500" cy="514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15</col>
      <colOff>0</colOff>
      <row>5</row>
      <rowOff>0</rowOff>
    </from>
    <ext cx="952500" cy="514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15</col>
      <colOff>0</colOff>
      <row>6</row>
      <rowOff>0</rowOff>
    </from>
    <ext cx="952500" cy="5143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15</col>
      <colOff>0</colOff>
      <row>7</row>
      <rowOff>0</rowOff>
    </from>
    <ext cx="952500" cy="5143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15</col>
      <colOff>0</colOff>
      <row>8</row>
      <rowOff>0</rowOff>
    </from>
    <ext cx="952500" cy="5143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15</col>
      <colOff>0</colOff>
      <row>9</row>
      <rowOff>0</rowOff>
    </from>
    <ext cx="952500" cy="5143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15</col>
      <colOff>0</colOff>
      <row>10</row>
      <rowOff>0</rowOff>
    </from>
    <ext cx="952500" cy="5143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15</col>
      <colOff>0</colOff>
      <row>11</row>
      <rowOff>0</rowOff>
    </from>
    <ext cx="952500" cy="5143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15</col>
      <colOff>0</colOff>
      <row>12</row>
      <rowOff>0</rowOff>
    </from>
    <ext cx="952500" cy="5143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15</col>
      <colOff>0</colOff>
      <row>13</row>
      <rowOff>0</rowOff>
    </from>
    <ext cx="952500" cy="5143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15</col>
      <colOff>0</colOff>
      <row>14</row>
      <rowOff>0</rowOff>
    </from>
    <ext cx="952500" cy="5143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15</col>
      <colOff>0</colOff>
      <row>15</row>
      <rowOff>0</rowOff>
    </from>
    <ext cx="952500" cy="5143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15</col>
      <colOff>0</colOff>
      <row>16</row>
      <rowOff>0</rowOff>
    </from>
    <ext cx="952500" cy="5143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15</col>
      <colOff>0</colOff>
      <row>17</row>
      <rowOff>0</rowOff>
    </from>
    <ext cx="952500" cy="5143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15</col>
      <colOff>0</colOff>
      <row>18</row>
      <rowOff>0</rowOff>
    </from>
    <ext cx="952500" cy="5143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15</col>
      <colOff>0</colOff>
      <row>19</row>
      <rowOff>0</rowOff>
    </from>
    <ext cx="952500" cy="5143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15</col>
      <colOff>0</colOff>
      <row>20</row>
      <rowOff>0</rowOff>
    </from>
    <ext cx="952500" cy="5143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15</col>
      <colOff>0</colOff>
      <row>21</row>
      <rowOff>0</rowOff>
    </from>
    <ext cx="952500" cy="5143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15</col>
      <colOff>0</colOff>
      <row>22</row>
      <rowOff>0</rowOff>
    </from>
    <ext cx="952500" cy="5143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15</col>
      <colOff>0</colOff>
      <row>23</row>
      <rowOff>0</rowOff>
    </from>
    <ext cx="952500" cy="5143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15</col>
      <colOff>0</colOff>
      <row>24</row>
      <rowOff>0</rowOff>
    </from>
    <ext cx="952500" cy="5143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15</col>
      <colOff>0</colOff>
      <row>25</row>
      <rowOff>0</rowOff>
    </from>
    <ext cx="952500" cy="5143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2" customWidth="1" min="3" max="3"/>
    <col width="35" customWidth="1" min="4" max="4"/>
    <col width="28" customWidth="1" min="5" max="5"/>
    <col width="35" customWidth="1" min="6" max="6"/>
    <col width="20" customWidth="1" min="7" max="7"/>
    <col width="14" customWidth="1" min="8" max="8"/>
  </cols>
  <sheetData>
    <row r="1" ht="28" customHeight="1">
      <c r="A1" s="1" t="inlineStr">
        <is>
          <t>Scenario ID</t>
        </is>
      </c>
      <c r="B1" s="1" t="inlineStr">
        <is>
          <t>Module</t>
        </is>
      </c>
      <c r="C1" s="1" t="inlineStr">
        <is>
          <t>Feature</t>
        </is>
      </c>
      <c r="D1" s="1" t="inlineStr">
        <is>
          <t>Scenario Description</t>
        </is>
      </c>
      <c r="E1" s="1" t="inlineStr">
        <is>
          <t>Preconditions</t>
        </is>
      </c>
      <c r="F1" s="1" t="inlineStr">
        <is>
          <t>Expected Result</t>
        </is>
      </c>
      <c r="G1" s="1" t="inlineStr">
        <is>
          <t>Scenario Type</t>
        </is>
      </c>
      <c r="H1" s="1" t="inlineStr">
        <is>
          <t>Priority</t>
        </is>
      </c>
    </row>
    <row r="2" ht="42" customHeight="1">
      <c r="A2" s="2" t="inlineStr">
        <is>
          <t>TS_001</t>
        </is>
      </c>
      <c r="B2" s="2" t="inlineStr">
        <is>
          <t>Find Bugs Page</t>
        </is>
      </c>
      <c r="C2" s="2" t="inlineStr">
        <is>
          <t>Page Launch &amp; Header</t>
        </is>
      </c>
      <c r="D2" s="3" t="inlineStr">
        <is>
          <t>Verify the successful loading, title, hero header, and navigation menu on the AcademyBugs Find Bugs landing page</t>
        </is>
      </c>
      <c r="E2" s="3" t="inlineStr">
        <is>
          <t>Web browser is open with stable internet connectivity</t>
        </is>
      </c>
      <c r="F2" s="3" t="inlineStr">
        <is>
          <t>Find Bugs landing page loads completely within 2 seconds, displaying the 25 bugs banner, product catalog grid, and fully responsive navigation bar</t>
        </is>
      </c>
      <c r="G2" s="2" t="inlineStr">
        <is>
          <t>Functional / Smoke</t>
        </is>
      </c>
      <c r="H2" s="4" t="inlineStr">
        <is>
          <t>P0</t>
        </is>
      </c>
    </row>
    <row r="3" ht="42" customHeight="1">
      <c r="A3" s="5" t="inlineStr">
        <is>
          <t>TS_002</t>
        </is>
      </c>
      <c r="B3" s="5" t="inlineStr">
        <is>
          <t>Product Catalog</t>
        </is>
      </c>
      <c r="C3" s="5" t="inlineStr">
        <is>
          <t>Product Grid Display</t>
        </is>
      </c>
      <c r="D3" s="6" t="inlineStr">
        <is>
          <t>Verify that all catalog products are rendered with valid images, titles, pricing, and available action buttons</t>
        </is>
      </c>
      <c r="E3" s="6" t="inlineStr">
        <is>
          <t>User is on https://academybugs.com/find-bugs/</t>
        </is>
      </c>
      <c r="F3" s="6" t="inlineStr">
        <is>
          <t>All product cards display intact thumbnail images, clear titles, correct retail prices, and working 'ADD TO CART' / 'CHECKOUT NOW' action buttons</t>
        </is>
      </c>
      <c r="G3" s="5" t="inlineStr">
        <is>
          <t>Functional / UI</t>
        </is>
      </c>
      <c r="H3" s="7" t="inlineStr">
        <is>
          <t>P1</t>
        </is>
      </c>
    </row>
    <row r="4" ht="42" customHeight="1">
      <c r="A4" s="2" t="inlineStr">
        <is>
          <t>TS_003</t>
        </is>
      </c>
      <c r="B4" s="2" t="inlineStr">
        <is>
          <t>Product Details</t>
        </is>
      </c>
      <c r="C4" s="2" t="inlineStr">
        <is>
          <t>Product Selection &amp; Navigation</t>
        </is>
      </c>
      <c r="D4" s="3" t="inlineStr">
        <is>
          <t>Verify clicking on a product card or title navigates user to the comprehensive Product Details page</t>
        </is>
      </c>
      <c r="E4" s="3" t="inlineStr">
        <is>
          <t>User is on the Find Bugs product listing page</t>
        </is>
      </c>
      <c r="F4" s="3" t="inlineStr">
        <is>
          <t>Product Details page opens showing item breadcrumb, high-resolution image gallery, SKU, price, variant selectors, and description tabs</t>
        </is>
      </c>
      <c r="G4" s="2" t="inlineStr">
        <is>
          <t>Functional</t>
        </is>
      </c>
      <c r="H4" s="7" t="inlineStr">
        <is>
          <t>P1</t>
        </is>
      </c>
    </row>
    <row r="5" ht="42" customHeight="1">
      <c r="A5" s="5" t="inlineStr">
        <is>
          <t>TS_004</t>
        </is>
      </c>
      <c r="B5" s="5" t="inlineStr">
        <is>
          <t>Product Images</t>
        </is>
      </c>
      <c r="C5" s="5" t="inlineStr">
        <is>
          <t>Image Rendering &amp; Aspect Ratio</t>
        </is>
      </c>
      <c r="D5" s="6" t="inlineStr">
        <is>
          <t>Validate that product images scale properly within containers without horizontal whitespace or unnatural vertical gaps</t>
        </is>
      </c>
      <c r="E5" s="6" t="inlineStr">
        <is>
          <t>User views product cards in catalog grid and single product display</t>
        </is>
      </c>
      <c r="F5" s="6" t="inlineStr">
        <is>
          <t>Images render completely without clipping, unwanted side whitespace, or abnormal empty margins beneath the image box</t>
        </is>
      </c>
      <c r="G5" s="5" t="inlineStr">
        <is>
          <t>Visual / UI</t>
        </is>
      </c>
      <c r="H5" s="8" t="inlineStr">
        <is>
          <t>P2</t>
        </is>
      </c>
    </row>
    <row r="6" ht="42" customHeight="1">
      <c r="A6" s="2" t="inlineStr">
        <is>
          <t>TS_005</t>
        </is>
      </c>
      <c r="B6" s="2" t="inlineStr">
        <is>
          <t>Product Pricing</t>
        </is>
      </c>
      <c r="C6" s="2" t="inlineStr">
        <is>
          <t>Price Display &amp; Currency Switcher</t>
        </is>
      </c>
      <c r="D6" s="3" t="inlineStr">
        <is>
          <t>Validate that currency switching updates all store prices accurately without script execution hangs</t>
        </is>
      </c>
      <c r="E6" s="3" t="inlineStr">
        <is>
          <t>User is on a product details page with sidebar currency selector visible</t>
        </is>
      </c>
      <c r="F6" s="3" t="inlineStr">
        <is>
          <t>Selecting USD, EUR, GBP, or CAD recalculates all product prices accurately according to exchange rates without freezing the browser interface</t>
        </is>
      </c>
      <c r="G6" s="2" t="inlineStr">
        <is>
          <t>Functional / Crash</t>
        </is>
      </c>
      <c r="H6" s="4" t="inlineStr">
        <is>
          <t>P0</t>
        </is>
      </c>
    </row>
    <row r="7" ht="42" customHeight="1">
      <c r="A7" s="5" t="inlineStr">
        <is>
          <t>TS_006</t>
        </is>
      </c>
      <c r="B7" s="5" t="inlineStr">
        <is>
          <t>Catalog Discovery</t>
        </is>
      </c>
      <c r="C7" s="5" t="inlineStr">
        <is>
          <t>Product Search</t>
        </is>
      </c>
      <c r="D7" s="6" t="inlineStr">
        <is>
          <t>Validate the store search functionality with valid, invalid, and empty product keyword queries</t>
        </is>
      </c>
      <c r="E7" s="6" t="inlineStr">
        <is>
          <t>User is on the store with search input bar visible in sidebar</t>
        </is>
      </c>
      <c r="F7" s="6" t="inlineStr">
        <is>
          <t>Relevant products matching keyword are listed accurately; appropriate 'No products found' notice is shown for non-existent items</t>
        </is>
      </c>
      <c r="G7" s="5" t="inlineStr">
        <is>
          <t>Functional</t>
        </is>
      </c>
      <c r="H7" s="7" t="inlineStr">
        <is>
          <t>P1</t>
        </is>
      </c>
    </row>
    <row r="8" ht="42" customHeight="1">
      <c r="A8" s="2" t="inlineStr">
        <is>
          <t>TS_007</t>
        </is>
      </c>
      <c r="B8" s="2" t="inlineStr">
        <is>
          <t>Catalog Discovery</t>
        </is>
      </c>
      <c r="C8" s="2" t="inlineStr">
        <is>
          <t>Filter by Price</t>
        </is>
      </c>
      <c r="D8" s="3" t="inlineStr">
        <is>
          <t>Validate filtering products by price brackets in the store sidebar menu</t>
        </is>
      </c>
      <c r="E8" s="3" t="inlineStr">
        <is>
          <t>User is on product catalog or details page with 'Filter by Price' widget</t>
        </is>
      </c>
      <c r="F8" s="3" t="inlineStr">
        <is>
          <t>Selecting a price range filters and displays only products priced within the selected bracket rather than simply reloading the unfiltered page</t>
        </is>
      </c>
      <c r="G8" s="2" t="inlineStr">
        <is>
          <t>Functional</t>
        </is>
      </c>
      <c r="H8" s="7" t="inlineStr">
        <is>
          <t>P1</t>
        </is>
      </c>
    </row>
    <row r="9" ht="42" customHeight="1">
      <c r="A9" s="5" t="inlineStr">
        <is>
          <t>TS_008</t>
        </is>
      </c>
      <c r="B9" s="5" t="inlineStr">
        <is>
          <t>Product Details</t>
        </is>
      </c>
      <c r="C9" s="5" t="inlineStr">
        <is>
          <t>Variant Selection (Color &amp; Size)</t>
        </is>
      </c>
      <c r="D9" s="6" t="inlineStr">
        <is>
          <t>Validate selecting different product options (color swatches, sizes) and verifying spelling and behavior</t>
        </is>
      </c>
      <c r="E9" s="6" t="inlineStr">
        <is>
          <t>User is viewing a configurable product (e.g. Flamingo Tshirt / Blue Hoodie)</t>
        </is>
      </c>
      <c r="F9" s="6" t="inlineStr">
        <is>
          <t>Color options are spelled correctly ('Yellow', 'Orange') and selecting options updates SKU/preview without crashing the browser upon quantity adjustment</t>
        </is>
      </c>
      <c r="G9" s="5" t="inlineStr">
        <is>
          <t>Functional / Content / Crash</t>
        </is>
      </c>
      <c r="H9" s="7" t="inlineStr">
        <is>
          <t>P1</t>
        </is>
      </c>
    </row>
    <row r="10" ht="42" customHeight="1">
      <c r="A10" s="2" t="inlineStr">
        <is>
          <t>TS_009</t>
        </is>
      </c>
      <c r="B10" s="2" t="inlineStr">
        <is>
          <t>Shopping Cart</t>
        </is>
      </c>
      <c r="C10" s="2" t="inlineStr">
        <is>
          <t>Add to Cart Operation</t>
        </is>
      </c>
      <c r="D10" s="3" t="inlineStr">
        <is>
          <t>Verify adding products to the shopping cart from catalog grid and product details page</t>
        </is>
      </c>
      <c r="E10" s="3" t="inlineStr">
        <is>
          <t>User is on catalog or product details page</t>
        </is>
      </c>
      <c r="F10" s="3" t="inlineStr">
        <is>
          <t>Product is added to cart, visual success confirmation banner displays, and cart item counter increments dynamically</t>
        </is>
      </c>
      <c r="G10" s="2" t="inlineStr">
        <is>
          <t>Functional / Smoke</t>
        </is>
      </c>
      <c r="H10" s="4" t="inlineStr">
        <is>
          <t>P0</t>
        </is>
      </c>
    </row>
    <row r="11" ht="42" customHeight="1">
      <c r="A11" s="5" t="inlineStr">
        <is>
          <t>TS_010</t>
        </is>
      </c>
      <c r="B11" s="5" t="inlineStr">
        <is>
          <t>Shopping Cart</t>
        </is>
      </c>
      <c r="C11" s="5" t="inlineStr">
        <is>
          <t>Cart Calculations &amp; Grand Total</t>
        </is>
      </c>
      <c r="D11" s="6" t="inlineStr">
        <is>
          <t>Validate that cart subtotal, shipping estimates, taxes, and grand total calculate with 100% mathematical accuracy</t>
        </is>
      </c>
      <c r="E11" s="6" t="inlineStr">
        <is>
          <t>User has added one or more items to the shopping cart</t>
        </is>
      </c>
      <c r="F11" s="6" t="inlineStr">
        <is>
          <t>Grand total strictly equals the mathematical sum of cart line items plus tax and shipping, without arbitrary additional charges ($100 markup)</t>
        </is>
      </c>
      <c r="G11" s="5" t="inlineStr">
        <is>
          <t>Functional / Calculation</t>
        </is>
      </c>
      <c r="H11" s="4" t="inlineStr">
        <is>
          <t>P0</t>
        </is>
      </c>
    </row>
    <row r="12" ht="42" customHeight="1">
      <c r="A12" s="2" t="inlineStr">
        <is>
          <t>TS_011</t>
        </is>
      </c>
      <c r="B12" s="2" t="inlineStr">
        <is>
          <t>Shopping Cart</t>
        </is>
      </c>
      <c r="C12" s="2" t="inlineStr">
        <is>
          <t>Quantity Modification &amp; Boundary Checks</t>
        </is>
      </c>
      <c r="D12" s="3" t="inlineStr">
        <is>
          <t>Verify increasing and decreasing product line item quantities in the shopping cart across boundary values</t>
        </is>
      </c>
      <c r="E12" s="3" t="inlineStr">
        <is>
          <t>User is on https://academybugs.com/my-cart/ with at least one item present</t>
        </is>
      </c>
      <c r="F12" s="3" t="inlineStr">
        <is>
          <t>User can adjust quantity to any valid integer (1, 2, 3, 5, 10) and clicking 'Update' recalculates item total and grand total smoothly</t>
        </is>
      </c>
      <c r="G12" s="2" t="inlineStr">
        <is>
          <t>Functional / Boundary</t>
        </is>
      </c>
      <c r="H12" s="7" t="inlineStr">
        <is>
          <t>P1</t>
        </is>
      </c>
    </row>
    <row r="13" ht="42" customHeight="1">
      <c r="A13" s="5" t="inlineStr">
        <is>
          <t>TS_012</t>
        </is>
      </c>
      <c r="B13" s="5" t="inlineStr">
        <is>
          <t>Shopping Cart</t>
        </is>
      </c>
      <c r="C13" s="5" t="inlineStr">
        <is>
          <t>Remove Item &amp; Clear Cart</t>
        </is>
      </c>
      <c r="D13" s="6" t="inlineStr">
        <is>
          <t>Validate removing individual line items and clearing the cart completely</t>
        </is>
      </c>
      <c r="E13" s="6" t="inlineStr">
        <is>
          <t>User has items in the shopping cart</t>
        </is>
      </c>
      <c r="F13" s="6" t="inlineStr">
        <is>
          <t>Item is removed immediately, totals update, and when empty, the empty cart page displays a properly formatted 'Return to Store' button</t>
        </is>
      </c>
      <c r="G13" s="5" t="inlineStr">
        <is>
          <t>Functional / Content</t>
        </is>
      </c>
      <c r="H13" s="7" t="inlineStr">
        <is>
          <t>P1</t>
        </is>
      </c>
    </row>
    <row r="14" ht="42" customHeight="1">
      <c r="A14" s="2" t="inlineStr">
        <is>
          <t>TS_013</t>
        </is>
      </c>
      <c r="B14" s="2" t="inlineStr">
        <is>
          <t>Shopping Cart</t>
        </is>
      </c>
      <c r="C14" s="2" t="inlineStr">
        <is>
          <t>Cart Hover Preview &amp; Mini-Cart</t>
        </is>
      </c>
      <c r="D14" s="3" t="inlineStr">
        <is>
          <t>Validate hovering over the Shopping Cart widget in the sidebar for preview tooltip encoding and typography</t>
        </is>
      </c>
      <c r="E14" s="3" t="inlineStr">
        <is>
          <t>User has added products to the shopping cart</t>
        </is>
      </c>
      <c r="F14" s="3" t="inlineStr">
        <is>
          <t>Cart popup displays cleanly formatted item summaries without unreadable symbols or corrupted character encoding</t>
        </is>
      </c>
      <c r="G14" s="2" t="inlineStr">
        <is>
          <t>Content / UI</t>
        </is>
      </c>
      <c r="H14" s="8" t="inlineStr">
        <is>
          <t>P2</t>
        </is>
      </c>
    </row>
    <row r="15" ht="42" customHeight="1">
      <c r="A15" s="5" t="inlineStr">
        <is>
          <t>TS_014</t>
        </is>
      </c>
      <c r="B15" s="5" t="inlineStr">
        <is>
          <t>User Registration</t>
        </is>
      </c>
      <c r="C15" s="5" t="inlineStr">
        <is>
          <t>Account Creation &amp; Form Validation</t>
        </is>
      </c>
      <c r="D15" s="6" t="inlineStr">
        <is>
          <t>Validate user registration with valid, duplicate, and invalid form data</t>
        </is>
      </c>
      <c r="E15" s="6" t="inlineStr">
        <is>
          <t>User navigates to Account Registration page</t>
        </is>
      </c>
      <c r="F15" s="6" t="inlineStr">
        <is>
          <t>New user can register with valid dummy data; inline validation flags invalid email/passwords; descriptive copy under 'New User' is in fluent English</t>
        </is>
      </c>
      <c r="G15" s="5" t="inlineStr">
        <is>
          <t>Functional / Content / Negative</t>
        </is>
      </c>
      <c r="H15" s="7" t="inlineStr">
        <is>
          <t>P1</t>
        </is>
      </c>
    </row>
    <row r="16" ht="42" customHeight="1">
      <c r="A16" s="2" t="inlineStr">
        <is>
          <t>TS_015</t>
        </is>
      </c>
      <c r="B16" s="2" t="inlineStr">
        <is>
          <t>User Authentication</t>
        </is>
      </c>
      <c r="C16" s="2" t="inlineStr">
        <is>
          <t>Login for Pricing &amp; Account Access</t>
        </is>
      </c>
      <c r="D16" s="3" t="inlineStr">
        <is>
          <t>Validate user sign in via main account page and sidebar widget with valid and invalid credentials</t>
        </is>
      </c>
      <c r="E16" s="3" t="inlineStr">
        <is>
          <t>User is on the login page or sidebar login widget</t>
        </is>
      </c>
      <c r="F16" s="3" t="inlineStr">
        <is>
          <t>Valid user logs in successfully; Sign In button and form labels exhibit proper vertical alignment and do not overlap the footer</t>
        </is>
      </c>
      <c r="G16" s="2" t="inlineStr">
        <is>
          <t>Functional / Visual</t>
        </is>
      </c>
      <c r="H16" s="7" t="inlineStr">
        <is>
          <t>P1</t>
        </is>
      </c>
    </row>
    <row r="17" ht="42" customHeight="1">
      <c r="A17" s="5" t="inlineStr">
        <is>
          <t>TS_016</t>
        </is>
      </c>
      <c r="B17" s="5" t="inlineStr">
        <is>
          <t>User Authentication</t>
        </is>
      </c>
      <c r="C17" s="5" t="inlineStr">
        <is>
          <t>Forgot Password &amp; Credential Recovery</t>
        </is>
      </c>
      <c r="D17" s="6" t="inlineStr">
        <is>
          <t>Validate password retrieval workflow for registered accounts</t>
        </is>
      </c>
      <c r="E17" s="6" t="inlineStr">
        <is>
          <t>User is on the Forgot Password interface</t>
        </is>
      </c>
      <c r="F17" s="6" t="inlineStr">
        <is>
          <t>Submitting registered email displays a confirmation and dispatches reset instructions without freezing or crashing the browser tab</t>
        </is>
      </c>
      <c r="G17" s="5" t="inlineStr">
        <is>
          <t>Functional / Crash</t>
        </is>
      </c>
      <c r="H17" s="7" t="inlineStr">
        <is>
          <t>P1</t>
        </is>
      </c>
    </row>
    <row r="18" ht="42" customHeight="1">
      <c r="A18" s="2" t="inlineStr">
        <is>
          <t>TS_017</t>
        </is>
      </c>
      <c r="B18" s="2" t="inlineStr">
        <is>
          <t>Account Management</t>
        </is>
      </c>
      <c r="C18" s="2" t="inlineStr">
        <is>
          <t>Billing Information &amp; Address Update</t>
        </is>
      </c>
      <c r="D18" s="3" t="inlineStr">
        <is>
          <t>Validate updating user billing details and address book from the account dashboard</t>
        </is>
      </c>
      <c r="E18" s="3" t="inlineStr">
        <is>
          <t>Authenticated user is on Account Dashboard &gt; Billing Information</t>
        </is>
      </c>
      <c r="F18" s="3" t="inlineStr">
        <is>
          <t>Submitting updated billing address saves instantly and returns success feedback within 2 seconds without hanging indefinitely</t>
        </is>
      </c>
      <c r="G18" s="2" t="inlineStr">
        <is>
          <t>Performance / Functional</t>
        </is>
      </c>
      <c r="H18" s="7" t="inlineStr">
        <is>
          <t>P1</t>
        </is>
      </c>
    </row>
    <row r="19" ht="42" customHeight="1">
      <c r="A19" s="5" t="inlineStr">
        <is>
          <t>TS_018</t>
        </is>
      </c>
      <c r="B19" s="5" t="inlineStr">
        <is>
          <t>Account Management</t>
        </is>
      </c>
      <c r="C19" s="5" t="inlineStr">
        <is>
          <t>Order History &amp; Invoices</t>
        </is>
      </c>
      <c r="D19" s="6" t="inlineStr">
        <is>
          <t>Validate viewing historical customer orders and past purchase summaries</t>
        </is>
      </c>
      <c r="E19" s="6" t="inlineStr">
        <is>
          <t>Authenticated user navigates to Order History</t>
        </is>
      </c>
      <c r="F19" s="6" t="inlineStr">
        <is>
          <t>Order History loads past orders or 'No past orders' prompt cleanly within 2 seconds without entering an infinite loading loop</t>
        </is>
      </c>
      <c r="G19" s="5" t="inlineStr">
        <is>
          <t>Performance / Functional</t>
        </is>
      </c>
      <c r="H19" s="7" t="inlineStr">
        <is>
          <t>P1</t>
        </is>
      </c>
    </row>
    <row r="20" ht="42" customHeight="1">
      <c r="A20" s="2" t="inlineStr">
        <is>
          <t>TS_019</t>
        </is>
      </c>
      <c r="B20" s="2" t="inlineStr">
        <is>
          <t>Checkout Flow</t>
        </is>
      </c>
      <c r="C20" s="2" t="inlineStr">
        <is>
          <t>End-to-End Checkout &amp; Checkout Links</t>
        </is>
      </c>
      <c r="D20" s="3" t="inlineStr">
        <is>
          <t>Verify the full checkout progression from cart through billing, shipping, and order submission</t>
        </is>
      </c>
      <c r="E20" s="3" t="inlineStr">
        <is>
          <t>User has in-stock products in the shopping cart</t>
        </is>
      </c>
      <c r="F20" s="3" t="inlineStr">
        <is>
          <t>User can navigate through billing, shipping methods, and educational order submission prompt with clear confirmation</t>
        </is>
      </c>
      <c r="G20" s="2" t="inlineStr">
        <is>
          <t>End-to-End / Functional</t>
        </is>
      </c>
      <c r="H20" s="4" t="inlineStr">
        <is>
          <t>P0</t>
        </is>
      </c>
    </row>
    <row r="21" ht="42" customHeight="1">
      <c r="A21" s="5" t="inlineStr">
        <is>
          <t>TS_020</t>
        </is>
      </c>
      <c r="B21" s="5" t="inlineStr">
        <is>
          <t>Catalog Navigation</t>
        </is>
      </c>
      <c r="C21" s="5" t="inlineStr">
        <is>
          <t>Results Per Page &amp; Pagination</t>
        </is>
      </c>
      <c r="D21" s="6" t="inlineStr">
        <is>
          <t>Validate clicking pagination links and results-per-page buttons (10, 25, 50)</t>
        </is>
      </c>
      <c r="E21" s="6" t="inlineStr">
        <is>
          <t>User is on the Find Bugs catalog listing page</t>
        </is>
      </c>
      <c r="F21" s="6" t="inlineStr">
        <is>
          <t>Catalog updates to show the selected number of items per page without script lockup, page freezing, or fatal crashes</t>
        </is>
      </c>
      <c r="G21" s="5" t="inlineStr">
        <is>
          <t>Functional / Crash</t>
        </is>
      </c>
      <c r="H21" s="4" t="inlineStr">
        <is>
          <t>P0</t>
        </is>
      </c>
    </row>
    <row r="22" ht="42" customHeight="1">
      <c r="A22" s="2" t="inlineStr">
        <is>
          <t>TS_021</t>
        </is>
      </c>
      <c r="B22" s="2" t="inlineStr">
        <is>
          <t>Product Details</t>
        </is>
      </c>
      <c r="C22" s="2" t="inlineStr">
        <is>
          <t>Manufacturer Links</t>
        </is>
      </c>
      <c r="D22" s="3" t="inlineStr">
        <is>
          <t>Validate manufacturer hyperlink displayed on product specifications</t>
        </is>
      </c>
      <c r="E22" s="3" t="inlineStr">
        <is>
          <t>User is viewing product details for a branded item</t>
        </is>
      </c>
      <c r="F22" s="3" t="inlineStr">
        <is>
          <t>Manufacturer link navigates to a valid brand detail or catalog listing rather than an HTTP 404/broken error screen</t>
        </is>
      </c>
      <c r="G22" s="2" t="inlineStr">
        <is>
          <t>Functional</t>
        </is>
      </c>
      <c r="H22" s="8" t="inlineStr">
        <is>
          <t>P2</t>
        </is>
      </c>
    </row>
    <row r="23" ht="42" customHeight="1">
      <c r="A23" s="5" t="inlineStr">
        <is>
          <t>TS_022</t>
        </is>
      </c>
      <c r="B23" s="5" t="inlineStr">
        <is>
          <t>Product Details</t>
        </is>
      </c>
      <c r="C23" s="5" t="inlineStr">
        <is>
          <t>Social Sharing Integrations</t>
        </is>
      </c>
      <c r="D23" s="6" t="inlineStr">
        <is>
          <t>Validate social share icons (Twitter, MySpace, Facebook) on product pages</t>
        </is>
      </c>
      <c r="E23" s="6" t="inlineStr">
        <is>
          <t>User is on product details page with social share buttons visible</t>
        </is>
      </c>
      <c r="F23" s="6" t="inlineStr">
        <is>
          <t>Social sharing triggers valid URLs without 404 domain typos ('twitter.cointent') or unresolved infinite loading popups ('My Space')</t>
        </is>
      </c>
      <c r="G23" s="5" t="inlineStr">
        <is>
          <t>Functional / Performance</t>
        </is>
      </c>
      <c r="H23" s="8" t="inlineStr">
        <is>
          <t>P2</t>
        </is>
      </c>
    </row>
    <row r="24" ht="42" customHeight="1">
      <c r="A24" s="2" t="inlineStr">
        <is>
          <t>TS_023</t>
        </is>
      </c>
      <c r="B24" s="2" t="inlineStr">
        <is>
          <t>Product Details</t>
        </is>
      </c>
      <c r="C24" s="2" t="inlineStr">
        <is>
          <t>User Comments &amp; Leave a Reply</t>
        </is>
      </c>
      <c r="D24" s="3" t="inlineStr">
        <is>
          <t>Validate submitting a product review/reply comment in the product feedback section</t>
        </is>
      </c>
      <c r="E24" s="3" t="inlineStr">
        <is>
          <t>User is on product details page scrolled to 'Leave a Reply'</t>
        </is>
      </c>
      <c r="F24" s="3" t="inlineStr">
        <is>
          <t>Submitting author name, email, and comment posts the review or provides validation feedback without freezing the entire browser tab</t>
        </is>
      </c>
      <c r="G24" s="2" t="inlineStr">
        <is>
          <t>Functional / Crash</t>
        </is>
      </c>
      <c r="H24" s="7" t="inlineStr">
        <is>
          <t>P1</t>
        </is>
      </c>
    </row>
    <row r="25" ht="42" customHeight="1">
      <c r="A25" s="5" t="inlineStr">
        <is>
          <t>TS_024</t>
        </is>
      </c>
      <c r="B25" s="5" t="inlineStr">
        <is>
          <t>Catalog &amp; Navigation</t>
        </is>
      </c>
      <c r="C25" s="5" t="inlineStr">
        <is>
          <t>Featured &amp; Hot Item Widget Navigation</t>
        </is>
      </c>
      <c r="D25" s="6" t="inlineStr">
        <is>
          <t>Validate clicking promotional product links in the sidebar 'Hot Item' widget</t>
        </is>
      </c>
      <c r="E25" s="6" t="inlineStr">
        <is>
          <t>User views sidebar with 'Hot Item' featured product displayed</t>
        </is>
      </c>
      <c r="F25" s="6" t="inlineStr">
        <is>
          <t>Clicking the Hot Item product thumbnail or title loads the featured item page promptly within 2 seconds without hanging</t>
        </is>
      </c>
      <c r="G25" s="5" t="inlineStr">
        <is>
          <t>Performance / Navigation</t>
        </is>
      </c>
      <c r="H25" s="7" t="inlineStr">
        <is>
          <t>P1</t>
        </is>
      </c>
    </row>
    <row r="26" ht="42" customHeight="1">
      <c r="A26" s="2" t="inlineStr">
        <is>
          <t>TS_025</t>
        </is>
      </c>
      <c r="B26" s="2" t="inlineStr">
        <is>
          <t>Cross-Browser Testing</t>
        </is>
      </c>
      <c r="C26" s="2" t="inlineStr">
        <is>
          <t>Cross-Browser Rendering &amp; Usability</t>
        </is>
      </c>
      <c r="D26" s="3" t="inlineStr">
        <is>
          <t>Verify core site rendering, layout integrity, and checkout usability across Google Chrome, Mozilla Firefox, and Microsoft Edge</t>
        </is>
      </c>
      <c r="E26" s="3" t="inlineStr">
        <is>
          <t>Current versions of Chrome, Firefox, and Edge installed on Windows 11</t>
        </is>
      </c>
      <c r="F26" s="3" t="inlineStr">
        <is>
          <t>Site renders consistently with identical responsive layouts, fonts, and controls across all targeted desktop browsers</t>
        </is>
      </c>
      <c r="G26" s="2" t="inlineStr">
        <is>
          <t>Compatibility / UI</t>
        </is>
      </c>
      <c r="H26" s="7" t="inlineStr">
        <is>
          <t>P1</t>
        </is>
      </c>
    </row>
    <row r="27" ht="42" customHeight="1">
      <c r="A27" s="5" t="inlineStr">
        <is>
          <t>TS_026</t>
        </is>
      </c>
      <c r="B27" s="5" t="inlineStr">
        <is>
          <t>Planted Bug Reproduction</t>
        </is>
      </c>
      <c r="C27" s="5" t="inlineStr">
        <is>
          <t>Planted Defect Investigation &amp; Verification</t>
        </is>
      </c>
      <c r="D27" s="6" t="inlineStr">
        <is>
          <t>Systematically verify and reproduce each of the 25 planted bugs (Functional, Visual, Content, Performance, Crash) on AcademyBugs</t>
        </is>
      </c>
      <c r="E27" s="6" t="inlineStr">
        <is>
          <t>Tester is on AcademyBugs practice environment with reproduction procedures</t>
        </is>
      </c>
      <c r="F27" s="6" t="inlineStr">
        <is>
          <t>Each planted defect is executed against documented steps, verified against live application behavior, classified accurately, and logged</t>
        </is>
      </c>
      <c r="G27" s="5" t="inlineStr">
        <is>
          <t>Bug Reproduction / Verification</t>
        </is>
      </c>
      <c r="H27" s="4" t="inlineStr">
        <is>
          <t>P0</t>
        </is>
      </c>
    </row>
  </sheetData>
  <autoFilter ref="A1:H27"/>
  <pageMargins left="0.75" right="0.75" top="1" bottom="1" header="0.5" footer="0.5"/>
</worksheet>
</file>

<file path=xl/worksheets/sheet2.xml><?xml version="1.0" encoding="utf-8"?>
<worksheet xmlns="http://schemas.openxmlformats.org/spreadsheetml/2006/main">
  <sheetPr>
    <tabColor rgb="000284C7"/>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30" customWidth="1" min="4" max="4"/>
    <col width="28" customWidth="1" min="5" max="5"/>
    <col width="45" customWidth="1" min="6" max="6"/>
    <col width="25" customWidth="1" min="7" max="7"/>
    <col width="35" customWidth="1" min="8" max="8"/>
    <col width="35" customWidth="1" min="9" max="9"/>
    <col width="22" customWidth="1" min="10" max="10"/>
    <col width="14" customWidth="1" min="11" max="11"/>
    <col width="12" customWidth="1" min="12" max="12"/>
    <col width="14" customWidth="1" min="13" max="13"/>
  </cols>
  <sheetData>
    <row r="1" ht="28" customHeight="1">
      <c r="A1" s="1" t="inlineStr">
        <is>
          <t>Test Case ID</t>
        </is>
      </c>
      <c r="B1" s="1" t="inlineStr">
        <is>
          <t>Scenario ID</t>
        </is>
      </c>
      <c r="C1" s="1" t="inlineStr">
        <is>
          <t>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Test Type</t>
        </is>
      </c>
      <c r="K1" s="1" t="inlineStr">
        <is>
          <t>Priority</t>
        </is>
      </c>
      <c r="L1" s="1" t="inlineStr">
        <is>
          <t>Result</t>
        </is>
      </c>
      <c r="M1" s="1" t="inlineStr">
        <is>
          <t>Defect ID</t>
        </is>
      </c>
    </row>
    <row r="2" ht="42" customHeight="1">
      <c r="A2" s="2" t="inlineStr">
        <is>
          <t>TC_001</t>
        </is>
      </c>
      <c r="B2" s="2" t="inlineStr">
        <is>
          <t>TS_001</t>
        </is>
      </c>
      <c r="C2" s="2" t="inlineStr">
        <is>
          <t>Find Bugs Page</t>
        </is>
      </c>
      <c r="D2" s="3" t="inlineStr">
        <is>
          <t>Verify products and layout are displayed correctly on Find Bugs page</t>
        </is>
      </c>
      <c r="E2" s="3" t="inlineStr">
        <is>
          <t>User has opened web browser</t>
        </is>
      </c>
      <c r="F2" s="3" t="inlineStr">
        <is>
          <t>1. Open https://academybugs.com/find-bugs/
2. Observe the page header and bug banner.
3. Verify product listing grid renders with 18+ items.
4. Check product titles, prices, and action buttons.
5. Verify responsive sidebar layout.</t>
        </is>
      </c>
      <c r="G2" s="3" t="inlineStr">
        <is>
          <t>URL: https://academybugs.com/find-bugs/</t>
        </is>
      </c>
      <c r="H2" s="3" t="inlineStr">
        <is>
          <t>Products should be displayed correctly with valid names, images, prices, and available actions within 2 seconds.</t>
        </is>
      </c>
      <c r="I2" s="3" t="inlineStr">
        <is>
          <t>Find Bugs page loaded completely. All product cards, titles, prices, and buttons rendered properly.</t>
        </is>
      </c>
      <c r="J2" s="2" t="inlineStr">
        <is>
          <t>Smoke / Functional</t>
        </is>
      </c>
      <c r="K2" s="4" t="inlineStr">
        <is>
          <t>P0</t>
        </is>
      </c>
      <c r="L2" s="9" t="inlineStr">
        <is>
          <t>Pass</t>
        </is>
      </c>
      <c r="M2" s="2" t="inlineStr">
        <is>
          <t>-</t>
        </is>
      </c>
    </row>
    <row r="3" ht="42" customHeight="1">
      <c r="A3" s="5" t="inlineStr">
        <is>
          <t>TC_002</t>
        </is>
      </c>
      <c r="B3" s="5" t="inlineStr">
        <is>
          <t>TS_002</t>
        </is>
      </c>
      <c r="C3" s="5" t="inlineStr">
        <is>
          <t>Product Catalog</t>
        </is>
      </c>
      <c r="D3" s="6" t="inlineStr">
        <is>
          <t>Verify product card information accuracy on catalog grid</t>
        </is>
      </c>
      <c r="E3" s="6" t="inlineStr">
        <is>
          <t>User is on Find Bugs catalog page</t>
        </is>
      </c>
      <c r="F3" s="6" t="inlineStr">
        <is>
          <t>1. Open https://academybugs.com/find-bugs/
2. Inspect DNK Yellow Shoes card.
3. Inspect Dark Grey Jeans card.
4. Inspect Flamingo Tshirt card.
5. Confirm prices ($120.00, $65.00, $25.00).</t>
        </is>
      </c>
      <c r="G3" s="6" t="inlineStr">
        <is>
          <t>Products: DNK Yellow Shoes, Dark Grey Jeans, Flamingo Tshirt</t>
        </is>
      </c>
      <c r="H3" s="6" t="inlineStr">
        <is>
          <t>Each product card displays high-resolution image, correct product title, and currency-formatted price.</t>
        </is>
      </c>
      <c r="I3" s="6" t="inlineStr">
        <is>
          <t>Product titles, pricing, and thumbnails rendered accurately with proper alignment.</t>
        </is>
      </c>
      <c r="J3" s="5" t="inlineStr">
        <is>
          <t>Functional / UI</t>
        </is>
      </c>
      <c r="K3" s="7" t="inlineStr">
        <is>
          <t>P1</t>
        </is>
      </c>
      <c r="L3" s="9" t="inlineStr">
        <is>
          <t>Pass</t>
        </is>
      </c>
      <c r="M3" s="5" t="inlineStr">
        <is>
          <t>-</t>
        </is>
      </c>
    </row>
    <row r="4" ht="42" customHeight="1">
      <c r="A4" s="2" t="inlineStr">
        <is>
          <t>TC_003</t>
        </is>
      </c>
      <c r="B4" s="2" t="inlineStr">
        <is>
          <t>TS_003</t>
        </is>
      </c>
      <c r="C4" s="2" t="inlineStr">
        <is>
          <t>Product Details</t>
        </is>
      </c>
      <c r="D4" s="3" t="inlineStr">
        <is>
          <t>Verify opening product details page from catalog card</t>
        </is>
      </c>
      <c r="E4" s="3" t="inlineStr">
        <is>
          <t>User is on Find Bugs catalog page</t>
        </is>
      </c>
      <c r="F4" s="3" t="inlineStr">
        <is>
          <t>1. Navigate to https://academybugs.com/find-bugs/
2. Click on 'DNK Yellow Shoes' product image or title link.
3. Verify URL changes to product page.
4. Verify breadcrumbs, gallery, and details load.</t>
        </is>
      </c>
      <c r="G4" s="3" t="inlineStr">
        <is>
          <t>Target Item: DNK Yellow Shoes (/store/dnk-yellow-shoes/)</t>
        </is>
      </c>
      <c r="H4" s="3" t="inlineStr">
        <is>
          <t>Product Details page opens smoothly showing item title, gallery, price, SKU, quantity box, and description tabs.</t>
        </is>
      </c>
      <c r="I4" s="3" t="inlineStr">
        <is>
          <t>Product Details page opened successfully. All core details, quantity box, and add-to-cart controls displayed.</t>
        </is>
      </c>
      <c r="J4" s="2" t="inlineStr">
        <is>
          <t>Functional</t>
        </is>
      </c>
      <c r="K4" s="7" t="inlineStr">
        <is>
          <t>P1</t>
        </is>
      </c>
      <c r="L4" s="9" t="inlineStr">
        <is>
          <t>Pass</t>
        </is>
      </c>
      <c r="M4" s="2" t="inlineStr">
        <is>
          <t>-</t>
        </is>
      </c>
    </row>
    <row r="5" ht="42" customHeight="1">
      <c r="A5" s="5" t="inlineStr">
        <is>
          <t>TC_004</t>
        </is>
      </c>
      <c r="B5" s="5" t="inlineStr">
        <is>
          <t>TS_006</t>
        </is>
      </c>
      <c r="C5" s="5" t="inlineStr">
        <is>
          <t>Catalog Discovery</t>
        </is>
      </c>
      <c r="D5" s="6" t="inlineStr">
        <is>
          <t>Verify product search with a valid matching keyword</t>
        </is>
      </c>
      <c r="E5" s="6" t="inlineStr">
        <is>
          <t>User is on the store with search bar visible</t>
        </is>
      </c>
      <c r="F5" s="6" t="inlineStr">
        <is>
          <t>1. Open https://academybugs.com/find-bugs/
2. Locate the Search field in the right sidebar.
3. Enter search keyword 'Jeans'.
4. Press Enter or click the Search magnifying icon.
5. Verify search results.</t>
        </is>
      </c>
      <c r="G5" s="6" t="inlineStr">
        <is>
          <t>Keyword: 'Jeans'</t>
        </is>
      </c>
      <c r="H5" s="6" t="inlineStr">
        <is>
          <t>Search results page displays products matching 'Jeans' (Dark Grey Jeans, Dark Blue Denim Jeans, Faint Washed Denim).</t>
        </is>
      </c>
      <c r="I5" s="6" t="inlineStr">
        <is>
          <t>Search results accurately filtered and displayed relevant jeans products matching the query.</t>
        </is>
      </c>
      <c r="J5" s="5" t="inlineStr">
        <is>
          <t>Functional</t>
        </is>
      </c>
      <c r="K5" s="7" t="inlineStr">
        <is>
          <t>P1</t>
        </is>
      </c>
      <c r="L5" s="9" t="inlineStr">
        <is>
          <t>Pass</t>
        </is>
      </c>
      <c r="M5" s="5" t="inlineStr">
        <is>
          <t>-</t>
        </is>
      </c>
    </row>
    <row r="6" ht="42" customHeight="1">
      <c r="A6" s="2" t="inlineStr">
        <is>
          <t>TC_005</t>
        </is>
      </c>
      <c r="B6" s="2" t="inlineStr">
        <is>
          <t>TS_006</t>
        </is>
      </c>
      <c r="C6" s="2" t="inlineStr">
        <is>
          <t>Catalog Discovery</t>
        </is>
      </c>
      <c r="D6" s="3" t="inlineStr">
        <is>
          <t>Verify product search with a non-existent product keyword (Negative)</t>
        </is>
      </c>
      <c r="E6" s="3" t="inlineStr">
        <is>
          <t>User is on the store with search bar visible</t>
        </is>
      </c>
      <c r="F6" s="3" t="inlineStr">
        <is>
          <t>1. Open https://academybugs.com/find-bugs/
2. Click the Search input box.
3. Enter 'XYZNonExistentKeyword999'.
4. Press Enter.
5. Observe search results interface.</t>
        </is>
      </c>
      <c r="G6" s="3" t="inlineStr">
        <is>
          <t>Keyword: 'XYZNonExistentKeyword999'</t>
        </is>
      </c>
      <c r="H6" s="3" t="inlineStr">
        <is>
          <t>Application displays a friendly 'No products found' or empty results message without breaking page layout.</t>
        </is>
      </c>
      <c r="I6" s="3" t="inlineStr">
        <is>
          <t>Appropriate message displayed indicating zero matching products found. Page layout remained intact.</t>
        </is>
      </c>
      <c r="J6" s="2" t="inlineStr">
        <is>
          <t>Negative Testing</t>
        </is>
      </c>
      <c r="K6" s="8" t="inlineStr">
        <is>
          <t>P2</t>
        </is>
      </c>
      <c r="L6" s="9" t="inlineStr">
        <is>
          <t>Pass</t>
        </is>
      </c>
      <c r="M6" s="2" t="inlineStr">
        <is>
          <t>-</t>
        </is>
      </c>
    </row>
    <row r="7" ht="42" customHeight="1">
      <c r="A7" s="5" t="inlineStr">
        <is>
          <t>TC_006</t>
        </is>
      </c>
      <c r="B7" s="5" t="inlineStr">
        <is>
          <t>TS_009</t>
        </is>
      </c>
      <c r="C7" s="5" t="inlineStr">
        <is>
          <t>Shopping Cart</t>
        </is>
      </c>
      <c r="D7" s="6" t="inlineStr">
        <is>
          <t>Verify adding a single product to cart from catalog grid</t>
        </is>
      </c>
      <c r="E7" s="6" t="inlineStr">
        <is>
          <t>User is on https://academybugs.com/find-bugs/</t>
        </is>
      </c>
      <c r="F7" s="6" t="inlineStr">
        <is>
          <t>1. Open Find Bugs page.
2. Locate 'DNK Yellow Shoes'.
3. Click 'ADD TO CART' button directly on the card.
4. Observe button state transition.
5. Verify notification popup and top cart counter.</t>
        </is>
      </c>
      <c r="G7" s="6" t="inlineStr">
        <is>
          <t>Product: DNK Yellow Shoes ($120.00)</t>
        </is>
      </c>
      <c r="H7" s="6" t="inlineStr">
        <is>
          <t>Notification 'Product successfully added to your cart' appears; cart counter increments by 1; 'View Cart' link activates.</t>
        </is>
      </c>
      <c r="I7" s="6" t="inlineStr">
        <is>
          <t>Product successfully added to cart. Confirmation toast displayed and cart counter updated to 1.</t>
        </is>
      </c>
      <c r="J7" s="5" t="inlineStr">
        <is>
          <t>Functional / Smoke</t>
        </is>
      </c>
      <c r="K7" s="4" t="inlineStr">
        <is>
          <t>P0</t>
        </is>
      </c>
      <c r="L7" s="9" t="inlineStr">
        <is>
          <t>Pass</t>
        </is>
      </c>
      <c r="M7" s="5" t="inlineStr">
        <is>
          <t>-</t>
        </is>
      </c>
    </row>
    <row r="8" ht="42" customHeight="1">
      <c r="A8" s="2" t="inlineStr">
        <is>
          <t>TC_007</t>
        </is>
      </c>
      <c r="B8" s="2" t="inlineStr">
        <is>
          <t>TS_009</t>
        </is>
      </c>
      <c r="C8" s="2" t="inlineStr">
        <is>
          <t>Shopping Cart</t>
        </is>
      </c>
      <c r="D8" s="3" t="inlineStr">
        <is>
          <t>Verify adding a product to cart from Product Details page</t>
        </is>
      </c>
      <c r="E8" s="3" t="inlineStr">
        <is>
          <t>User is on 'Dark Grey Jeans' product details page</t>
        </is>
      </c>
      <c r="F8" s="3" t="inlineStr">
        <is>
          <t>1. Navigate to https://academybugs.com/store/dark-grey-jeans/
2. Verify default quantity is set to 1.
3. Click 'ADD TO CART' button.
4. Observe success modal / notification banner.
5. Check cart item count.</t>
        </is>
      </c>
      <c r="G8" s="3" t="inlineStr">
        <is>
          <t>Product: Dark Grey Jeans ($65.00), Quantity: 1</t>
        </is>
      </c>
      <c r="H8" s="3" t="inlineStr">
        <is>
          <t>Item is added to shopping cart; cart summary displays item with subtotal $65.00.</t>
        </is>
      </c>
      <c r="I8" s="3" t="inlineStr">
        <is>
          <t>Item added successfully from details page. Success banner displayed and cart updated.</t>
        </is>
      </c>
      <c r="J8" s="2" t="inlineStr">
        <is>
          <t>Functional</t>
        </is>
      </c>
      <c r="K8" s="7" t="inlineStr">
        <is>
          <t>P1</t>
        </is>
      </c>
      <c r="L8" s="9" t="inlineStr">
        <is>
          <t>Pass</t>
        </is>
      </c>
      <c r="M8" s="2" t="inlineStr">
        <is>
          <t>-</t>
        </is>
      </c>
    </row>
    <row r="9" ht="42" customHeight="1">
      <c r="A9" s="5" t="inlineStr">
        <is>
          <t>TC_008</t>
        </is>
      </c>
      <c r="B9" s="5" t="inlineStr">
        <is>
          <t>TS_011</t>
        </is>
      </c>
      <c r="C9" s="5" t="inlineStr">
        <is>
          <t>Shopping Cart</t>
        </is>
      </c>
      <c r="D9" s="6" t="inlineStr">
        <is>
          <t>Verify cart quantity boundary input with Minimum Valid Value (1)</t>
        </is>
      </c>
      <c r="E9" s="6" t="inlineStr">
        <is>
          <t>User has 1 item in the shopping cart</t>
        </is>
      </c>
      <c r="F9" s="6" t="inlineStr">
        <is>
          <t>1. Open https://academybugs.com/my-cart/
2. Enter quantity '1' into product quantity field.
3. Click 'Update' button.
4. Verify line item quantity and subtotal.</t>
        </is>
      </c>
      <c r="G9" s="6" t="inlineStr">
        <is>
          <t>Product: DNK Yellow Shoes, Quantity: 1</t>
        </is>
      </c>
      <c r="H9" s="6" t="inlineStr">
        <is>
          <t>Line item retains quantity 1 and recalculates subtotal to $120.00 correctly.</t>
        </is>
      </c>
      <c r="I9" s="6" t="inlineStr">
        <is>
          <t>Quantity 1 accepted; line item total calculated correctly as $120.00.</t>
        </is>
      </c>
      <c r="J9" s="5" t="inlineStr">
        <is>
          <t>Boundary Testing</t>
        </is>
      </c>
      <c r="K9" s="7" t="inlineStr">
        <is>
          <t>P1</t>
        </is>
      </c>
      <c r="L9" s="9" t="inlineStr">
        <is>
          <t>Pass</t>
        </is>
      </c>
      <c r="M9" s="5" t="inlineStr">
        <is>
          <t>-</t>
        </is>
      </c>
    </row>
    <row r="10" ht="42" customHeight="1">
      <c r="A10" s="2" t="inlineStr">
        <is>
          <t>TC_009</t>
        </is>
      </c>
      <c r="B10" s="2" t="inlineStr">
        <is>
          <t>TS_011</t>
        </is>
      </c>
      <c r="C10" s="2" t="inlineStr">
        <is>
          <t>Shopping Cart</t>
        </is>
      </c>
      <c r="D10" s="3" t="inlineStr">
        <is>
          <t>Verify cart quantity boundary input with Valid Increment Value (2)</t>
        </is>
      </c>
      <c r="E10" s="3" t="inlineStr">
        <is>
          <t>User has 1 item in the shopping cart</t>
        </is>
      </c>
      <c r="F10" s="3" t="inlineStr">
        <is>
          <t>1. Open https://academybugs.com/my-cart/
2. Change quantity input from 1 to 2.
3. Click 'Update' button.
4. Verify line item quantity and line item subtotal.</t>
        </is>
      </c>
      <c r="G10" s="3" t="inlineStr">
        <is>
          <t>Product: DNK Yellow Shoes, Quantity: 2</t>
        </is>
      </c>
      <c r="H10" s="3" t="inlineStr">
        <is>
          <t>Quantity updates to 2; line item subtotal reflects 2 * $120.00 = $240.00.</t>
        </is>
      </c>
      <c r="I10" s="3" t="inlineStr">
        <is>
          <t>Quantity successfully updated to 2. Line subtotal recalculated to $240.00.</t>
        </is>
      </c>
      <c r="J10" s="2" t="inlineStr">
        <is>
          <t>Boundary Testing</t>
        </is>
      </c>
      <c r="K10" s="7" t="inlineStr">
        <is>
          <t>P1</t>
        </is>
      </c>
      <c r="L10" s="9" t="inlineStr">
        <is>
          <t>Pass</t>
        </is>
      </c>
      <c r="M10" s="2" t="inlineStr">
        <is>
          <t>-</t>
        </is>
      </c>
    </row>
    <row r="11" ht="42" customHeight="1">
      <c r="A11" s="5" t="inlineStr">
        <is>
          <t>TC_010</t>
        </is>
      </c>
      <c r="B11" s="5" t="inlineStr">
        <is>
          <t>TS_012</t>
        </is>
      </c>
      <c r="C11" s="5" t="inlineStr">
        <is>
          <t>Shopping Cart</t>
        </is>
      </c>
      <c r="D11" s="6" t="inlineStr">
        <is>
          <t>Verify removing an item from the shopping cart</t>
        </is>
      </c>
      <c r="E11" s="6" t="inlineStr">
        <is>
          <t>User has 1 item in the shopping cart</t>
        </is>
      </c>
      <c r="F11" s="6" t="inlineStr">
        <is>
          <t>1. Open https://academybugs.com/my-cart/
2. Locate the line item in cart table.
3. Click the 'X' (Remove / Delete) button or trash icon.
4. Confirm prompt if presented.
5. Observe cart table and message.</t>
        </is>
      </c>
      <c r="G11" s="6" t="inlineStr">
        <is>
          <t>Item: DNK Yellow Shoes</t>
        </is>
      </c>
      <c r="H11" s="6" t="inlineStr">
        <is>
          <t>Line item is removed from table; cart displays 'Your cart is currently empty' and subtotal resets to $0.00.</t>
        </is>
      </c>
      <c r="I11" s="6" t="inlineStr">
        <is>
          <t>Item removed cleanly. Cart updated to empty state and total displayed $0.00.</t>
        </is>
      </c>
      <c r="J11" s="5" t="inlineStr">
        <is>
          <t>Functional</t>
        </is>
      </c>
      <c r="K11" s="7" t="inlineStr">
        <is>
          <t>P1</t>
        </is>
      </c>
      <c r="L11" s="9" t="inlineStr">
        <is>
          <t>Pass</t>
        </is>
      </c>
      <c r="M11" s="5" t="inlineStr">
        <is>
          <t>-</t>
        </is>
      </c>
    </row>
    <row r="12" ht="42" customHeight="1">
      <c r="A12" s="2" t="inlineStr">
        <is>
          <t>TC_011</t>
        </is>
      </c>
      <c r="B12" s="2" t="inlineStr">
        <is>
          <t>TS_014</t>
        </is>
      </c>
      <c r="C12" s="2" t="inlineStr">
        <is>
          <t>User Registration</t>
        </is>
      </c>
      <c r="D12" s="3" t="inlineStr">
        <is>
          <t>Verify user registration form with valid dummy credentials</t>
        </is>
      </c>
      <c r="E12" s="3" t="inlineStr">
        <is>
          <t>User is on Account Sign Up / Register page</t>
        </is>
      </c>
      <c r="F12" s="3" t="inlineStr">
        <is>
          <t>1. Open https://academybugs.com/account/
2. Select Register / Sign Up tab.
3. Fill First Name, Last Name, Email, and Password.
4. Click 'Register' / 'Create Account' button.
5. Observe confirmation.</t>
        </is>
      </c>
      <c r="G12" s="3" t="inlineStr">
        <is>
          <t>Name: John Doe, Email: academybugs.test@example.com, Pass: Test@12345</t>
        </is>
      </c>
      <c r="H12" s="3" t="inlineStr">
        <is>
          <t>Account is registered successfully and user is redirected to dashboard or welcome notification.</t>
        </is>
      </c>
      <c r="I12" s="3" t="inlineStr">
        <is>
          <t>Form accepts valid inputs and creates session successfully.</t>
        </is>
      </c>
      <c r="J12" s="2" t="inlineStr">
        <is>
          <t>Functional / Sanity</t>
        </is>
      </c>
      <c r="K12" s="7" t="inlineStr">
        <is>
          <t>P1</t>
        </is>
      </c>
      <c r="L12" s="9" t="inlineStr">
        <is>
          <t>Pass</t>
        </is>
      </c>
      <c r="M12" s="2" t="inlineStr">
        <is>
          <t>-</t>
        </is>
      </c>
    </row>
    <row r="13" ht="42" customHeight="1">
      <c r="A13" s="5" t="inlineStr">
        <is>
          <t>TC_012</t>
        </is>
      </c>
      <c r="B13" s="5" t="inlineStr">
        <is>
          <t>TS_014</t>
        </is>
      </c>
      <c r="C13" s="5" t="inlineStr">
        <is>
          <t>User Registration</t>
        </is>
      </c>
      <c r="D13" s="6" t="inlineStr">
        <is>
          <t>Verify registration with invalid email format (Negative)</t>
        </is>
      </c>
      <c r="E13" s="6" t="inlineStr">
        <is>
          <t>User is on Account Registration page</t>
        </is>
      </c>
      <c r="F13" s="6" t="inlineStr">
        <is>
          <t>1. Navigate to Account Sign Up page.
2. Enter Name: 'John Doe'.
3. Enter invalid email: 'johndoe_invalid_email'.
4. Enter Password: 'Test@12345'.
5. Click 'Create Account'.</t>
        </is>
      </c>
      <c r="G13" s="6" t="inlineStr">
        <is>
          <t>Email: 'johndoe_invalid_email'</t>
        </is>
      </c>
      <c r="H13" s="6" t="inlineStr">
        <is>
          <t>Form validation prevents submission and displays error: 'Please enter a valid email address'.</t>
        </is>
      </c>
      <c r="I13" s="6" t="inlineStr">
        <is>
          <t>Form prevented submission and highlighted email field with standard validation error.</t>
        </is>
      </c>
      <c r="J13" s="5" t="inlineStr">
        <is>
          <t>Negative Testing</t>
        </is>
      </c>
      <c r="K13" s="8" t="inlineStr">
        <is>
          <t>P2</t>
        </is>
      </c>
      <c r="L13" s="9" t="inlineStr">
        <is>
          <t>Pass</t>
        </is>
      </c>
      <c r="M13" s="5" t="inlineStr">
        <is>
          <t>-</t>
        </is>
      </c>
    </row>
    <row r="14" ht="42" customHeight="1">
      <c r="A14" s="2" t="inlineStr">
        <is>
          <t>TC_013</t>
        </is>
      </c>
      <c r="B14" s="2" t="inlineStr">
        <is>
          <t>TS_014</t>
        </is>
      </c>
      <c r="C14" s="2" t="inlineStr">
        <is>
          <t>User Registration</t>
        </is>
      </c>
      <c r="D14" s="3" t="inlineStr">
        <is>
          <t>Verify registration with empty required fields (Negative)</t>
        </is>
      </c>
      <c r="E14" s="3" t="inlineStr">
        <is>
          <t>User is on Account Registration page</t>
        </is>
      </c>
      <c r="F14" s="3" t="inlineStr">
        <is>
          <t>1. Navigate to Account Sign Up page.
2. Leave all fields blank.
3. Click 'Create Account' / 'Submit'.
4. Observe validation error prompts.</t>
        </is>
      </c>
      <c r="G14" s="3" t="inlineStr">
        <is>
          <t>Fields: Blank</t>
        </is>
      </c>
      <c r="H14" s="3" t="inlineStr">
        <is>
          <t>Validation errors displayed for all mandatory fields; form is not submitted.</t>
        </is>
      </c>
      <c r="I14" s="3" t="inlineStr">
        <is>
          <t>Submission blocked; mandatory field errors displayed for name, email, and password.</t>
        </is>
      </c>
      <c r="J14" s="2" t="inlineStr">
        <is>
          <t>Negative Testing</t>
        </is>
      </c>
      <c r="K14" s="8" t="inlineStr">
        <is>
          <t>P2</t>
        </is>
      </c>
      <c r="L14" s="9" t="inlineStr">
        <is>
          <t>Pass</t>
        </is>
      </c>
      <c r="M14" s="2" t="inlineStr">
        <is>
          <t>-</t>
        </is>
      </c>
    </row>
    <row r="15" ht="42" customHeight="1">
      <c r="A15" s="5" t="inlineStr">
        <is>
          <t>TC_014</t>
        </is>
      </c>
      <c r="B15" s="5" t="inlineStr">
        <is>
          <t>TS_015</t>
        </is>
      </c>
      <c r="C15" s="5" t="inlineStr">
        <is>
          <t>User Authentication</t>
        </is>
      </c>
      <c r="D15" s="6" t="inlineStr">
        <is>
          <t>Verify login with incorrect password (Negative)</t>
        </is>
      </c>
      <c r="E15" s="6" t="inlineStr">
        <is>
          <t>User is on Account Login page or sidebar widget</t>
        </is>
      </c>
      <c r="F15" s="6" t="inlineStr">
        <is>
          <t>1. Open https://academybugs.com/account/
2. Enter registered email: 'academybugs.test@example.com'.
3. Enter incorrect password: 'WrongPassword999'.
4. Click 'Sign In'.
5. Observe authentication response.</t>
        </is>
      </c>
      <c r="G15" s="6" t="inlineStr">
        <is>
          <t>Email: academybugs.test@example.com, Pass: WrongPassword999</t>
        </is>
      </c>
      <c r="H15" s="6" t="inlineStr">
        <is>
          <t>Authentication fails; error banner 'Invalid username or password' is displayed without crashing.</t>
        </is>
      </c>
      <c r="I15" s="6" t="inlineStr">
        <is>
          <t>Error message displayed indicating invalid credentials. System remained stable.</t>
        </is>
      </c>
      <c r="J15" s="5" t="inlineStr">
        <is>
          <t>Negative Testing</t>
        </is>
      </c>
      <c r="K15" s="8" t="inlineStr">
        <is>
          <t>P2</t>
        </is>
      </c>
      <c r="L15" s="9" t="inlineStr">
        <is>
          <t>Pass</t>
        </is>
      </c>
      <c r="M15" s="5" t="inlineStr">
        <is>
          <t>-</t>
        </is>
      </c>
    </row>
    <row r="16" ht="42" customHeight="1">
      <c r="A16" s="2" t="inlineStr">
        <is>
          <t>TC_015</t>
        </is>
      </c>
      <c r="B16" s="2" t="inlineStr">
        <is>
          <t>TS_019</t>
        </is>
      </c>
      <c r="C16" s="2" t="inlineStr">
        <is>
          <t>Checkout Flow</t>
        </is>
      </c>
      <c r="D16" s="3" t="inlineStr">
        <is>
          <t>Verify navigating from Shopping Cart to Checkout Information page</t>
        </is>
      </c>
      <c r="E16" s="3" t="inlineStr">
        <is>
          <t>User has at least one product in the cart</t>
        </is>
      </c>
      <c r="F16" s="3" t="inlineStr">
        <is>
          <t>1. Open https://academybugs.com/my-cart/
2. Verify product is listed with valid subtotal.
3. Click 'CHECKOUT NOW' or 'Proceed to Checkout'.
4. Verify checkout address and details form loads.</t>
        </is>
      </c>
      <c r="G16" s="3" t="inlineStr">
        <is>
          <t>Product: Flamingo Tshirt ($25.00)</t>
        </is>
      </c>
      <c r="H16" s="3" t="inlineStr">
        <is>
          <t>Checkout page loads displaying customer billing address fields, shipping options, and order summary.</t>
        </is>
      </c>
      <c r="I16" s="3" t="inlineStr">
        <is>
          <t>Checkout page loaded successfully. Address form fields and order summary rendered accurately.</t>
        </is>
      </c>
      <c r="J16" s="2" t="inlineStr">
        <is>
          <t>Functional / Sanity</t>
        </is>
      </c>
      <c r="K16" s="7" t="inlineStr">
        <is>
          <t>P1</t>
        </is>
      </c>
      <c r="L16" s="9" t="inlineStr">
        <is>
          <t>Pass</t>
        </is>
      </c>
      <c r="M16" s="2" t="inlineStr">
        <is>
          <t>-</t>
        </is>
      </c>
    </row>
    <row r="17" ht="42" customHeight="1">
      <c r="A17" s="5" t="inlineStr">
        <is>
          <t>TC_016</t>
        </is>
      </c>
      <c r="B17" s="5" t="inlineStr">
        <is>
          <t>TS_019</t>
        </is>
      </c>
      <c r="C17" s="5" t="inlineStr">
        <is>
          <t>Checkout Flow</t>
        </is>
      </c>
      <c r="D17" s="6" t="inlineStr">
        <is>
          <t>Verify educational order submission prompt during checkout (End-to-End)</t>
        </is>
      </c>
      <c r="E17" s="6" t="inlineStr">
        <is>
          <t>User has filled billing details on checkout page</t>
        </is>
      </c>
      <c r="F17" s="6" t="inlineStr">
        <is>
          <t>1. Complete billing address fields with dummy data.
2. Select standard delivery method.
3. Proceed to final order review.
4. Click 'Submit Order' / 'Place Order'.
5. Observe educational safety modal.</t>
        </is>
      </c>
      <c r="G17" s="6" t="inlineStr">
        <is>
          <t>Dummy Billing Address: 123 QA Street, Austin, TX 78701</t>
        </is>
      </c>
      <c r="H17" s="6" t="inlineStr">
        <is>
          <t>Modal displays informing user that this is an educational test site and no real money will be charged.</t>
        </is>
      </c>
      <c r="I17" s="6" t="inlineStr">
        <is>
          <t>Educational disclaimer popup rendered correctly: 'Clicking Submit Order will not create a real order...'.</t>
        </is>
      </c>
      <c r="J17" s="5" t="inlineStr">
        <is>
          <t>End-to-End</t>
        </is>
      </c>
      <c r="K17" s="4" t="inlineStr">
        <is>
          <t>P0</t>
        </is>
      </c>
      <c r="L17" s="9" t="inlineStr">
        <is>
          <t>Pass</t>
        </is>
      </c>
      <c r="M17" s="5" t="inlineStr">
        <is>
          <t>-</t>
        </is>
      </c>
    </row>
    <row r="18" ht="42" customHeight="1">
      <c r="A18" s="2" t="inlineStr">
        <is>
          <t>TC_017</t>
        </is>
      </c>
      <c r="B18" s="2" t="inlineStr">
        <is>
          <t>TS_008</t>
        </is>
      </c>
      <c r="C18" s="2" t="inlineStr">
        <is>
          <t>Product Details</t>
        </is>
      </c>
      <c r="D18" s="3" t="inlineStr">
        <is>
          <t>Verify selecting valid product size variants</t>
        </is>
      </c>
      <c r="E18" s="3" t="inlineStr">
        <is>
          <t>User is on 'Blue Hoodie' product details page</t>
        </is>
      </c>
      <c r="F18" s="3" t="inlineStr">
        <is>
          <t>1. Open https://academybugs.com/store/blue-hoodie/
2. Locate Size selection dropdown / buttons.
3. Select Size 'Medium'.
4. Select Size 'Large'.
5. Verify selection persists and SKU updates if applicable.</t>
        </is>
      </c>
      <c r="G18" s="3" t="inlineStr">
        <is>
          <t>Sizes: Medium, Large</t>
        </is>
      </c>
      <c r="H18" s="3" t="inlineStr">
        <is>
          <t>Selected size updates cleanly and is carried forward when product is added to cart.</t>
        </is>
      </c>
      <c r="I18" s="3" t="inlineStr">
        <is>
          <t>Size option selected smoothly without errors. Correct size reflected in selection.</t>
        </is>
      </c>
      <c r="J18" s="2" t="inlineStr">
        <is>
          <t>Functional</t>
        </is>
      </c>
      <c r="K18" s="8" t="inlineStr">
        <is>
          <t>P2</t>
        </is>
      </c>
      <c r="L18" s="9" t="inlineStr">
        <is>
          <t>Pass</t>
        </is>
      </c>
      <c r="M18" s="2" t="inlineStr">
        <is>
          <t>-</t>
        </is>
      </c>
    </row>
    <row r="19" ht="42" customHeight="1">
      <c r="A19" s="5" t="inlineStr">
        <is>
          <t>TC_018</t>
        </is>
      </c>
      <c r="B19" s="5" t="inlineStr">
        <is>
          <t>TS_004</t>
        </is>
      </c>
      <c r="C19" s="5" t="inlineStr">
        <is>
          <t>Product Images</t>
        </is>
      </c>
      <c r="D19" s="6" t="inlineStr">
        <is>
          <t>Verify product image gallery thumbnails switch main view</t>
        </is>
      </c>
      <c r="E19" s="6" t="inlineStr">
        <is>
          <t>User is on product details page with multiple gallery images</t>
        </is>
      </c>
      <c r="F19" s="6" t="inlineStr">
        <is>
          <t>1. Open https://academybugs.com/store/dark-blue-denim-jeans/
2. Observe primary product image.
3. Click on secondary image thumbnail.
4. Observe primary viewport update.</t>
        </is>
      </c>
      <c r="G19" s="6" t="inlineStr">
        <is>
          <t>Target: Dark Blue Denim Jeans gallery thumbnails</t>
        </is>
      </c>
      <c r="H19" s="6" t="inlineStr">
        <is>
          <t>Primary image smoothly switches to display selected thumbnail photo in high resolution.</t>
        </is>
      </c>
      <c r="I19" s="6" t="inlineStr">
        <is>
          <t>Primary image updated accurately upon clicking gallery thumbnail.</t>
        </is>
      </c>
      <c r="J19" s="5" t="inlineStr">
        <is>
          <t>UI / Functional</t>
        </is>
      </c>
      <c r="K19" s="8" t="inlineStr">
        <is>
          <t>P2</t>
        </is>
      </c>
      <c r="L19" s="9" t="inlineStr">
        <is>
          <t>Pass</t>
        </is>
      </c>
      <c r="M19" s="5" t="inlineStr">
        <is>
          <t>-</t>
        </is>
      </c>
    </row>
    <row r="20" ht="42" customHeight="1">
      <c r="A20" s="2" t="inlineStr">
        <is>
          <t>TC_019</t>
        </is>
      </c>
      <c r="B20" s="2" t="inlineStr">
        <is>
          <t>TS_001</t>
        </is>
      </c>
      <c r="C20" s="2" t="inlineStr">
        <is>
          <t>Navigation</t>
        </is>
      </c>
      <c r="D20" s="3" t="inlineStr">
        <is>
          <t>Verify header navigation menu links routing</t>
        </is>
      </c>
      <c r="E20" s="3" t="inlineStr">
        <is>
          <t>User is on any store page</t>
        </is>
      </c>
      <c r="F20" s="3" t="inlineStr">
        <is>
          <t>1. Click 'Home' link in top menu.
2. Click 'Examples of Bugs' link.
3. Click 'Types of Bugs' link.
4. Click 'Find Bugs' link.
5. Click 'Report Bugs' link.</t>
        </is>
      </c>
      <c r="G20" s="3" t="inlineStr">
        <is>
          <t>Navigation bar links</t>
        </is>
      </c>
      <c r="H20" s="3" t="inlineStr">
        <is>
          <t>Each menu link routes to corresponding page without HTTP 404 or broken links.</t>
        </is>
      </c>
      <c r="I20" s="3" t="inlineStr">
        <is>
          <t>All main navigation links resolved to expected destination pages successfully.</t>
        </is>
      </c>
      <c r="J20" s="2" t="inlineStr">
        <is>
          <t>Smoke / Navigation</t>
        </is>
      </c>
      <c r="K20" s="7" t="inlineStr">
        <is>
          <t>P1</t>
        </is>
      </c>
      <c r="L20" s="9" t="inlineStr">
        <is>
          <t>Pass</t>
        </is>
      </c>
      <c r="M20" s="2" t="inlineStr">
        <is>
          <t>-</t>
        </is>
      </c>
    </row>
    <row r="21" ht="42" customHeight="1">
      <c r="A21" s="5" t="inlineStr">
        <is>
          <t>TC_020</t>
        </is>
      </c>
      <c r="B21" s="5" t="inlineStr">
        <is>
          <t>TS_002</t>
        </is>
      </c>
      <c r="C21" s="5" t="inlineStr">
        <is>
          <t>Product Catalog</t>
        </is>
      </c>
      <c r="D21" s="6" t="inlineStr">
        <is>
          <t>Verify responsive catalog layout across viewport resizes</t>
        </is>
      </c>
      <c r="E21" s="6" t="inlineStr">
        <is>
          <t>User is on Find Bugs catalog page</t>
        </is>
      </c>
      <c r="F21" s="6" t="inlineStr">
        <is>
          <t>1. Open https://academybugs.com/find-bugs/ on desktop (1920x1080).
2. Resize viewport to tablet width (768px).
3. Resize viewport to mobile width (375px).
4. Observe product grid reflow.</t>
        </is>
      </c>
      <c r="G21" s="6" t="inlineStr">
        <is>
          <t>Viewport sizes: 1920px, 768px, 375px</t>
        </is>
      </c>
      <c r="H21" s="6" t="inlineStr">
        <is>
          <t>Product cards reflow seamlessly from 3 columns to 2 columns and 1 column without horizontal scrollbars.</t>
        </is>
      </c>
      <c r="I21" s="6" t="inlineStr">
        <is>
          <t>Responsive grid adapted correctly across all tested viewport widths.</t>
        </is>
      </c>
      <c r="J21" s="5" t="inlineStr">
        <is>
          <t>UI Testing</t>
        </is>
      </c>
      <c r="K21" s="8" t="inlineStr">
        <is>
          <t>P2</t>
        </is>
      </c>
      <c r="L21" s="9" t="inlineStr">
        <is>
          <t>Pass</t>
        </is>
      </c>
      <c r="M21" s="5" t="inlineStr">
        <is>
          <t>-</t>
        </is>
      </c>
    </row>
    <row r="22" ht="42" customHeight="1">
      <c r="A22" s="2" t="inlineStr">
        <is>
          <t>TC_021</t>
        </is>
      </c>
      <c r="B22" s="2" t="inlineStr">
        <is>
          <t>TS_014</t>
        </is>
      </c>
      <c r="C22" s="2" t="inlineStr">
        <is>
          <t>User Registration</t>
        </is>
      </c>
      <c r="D22" s="3" t="inlineStr">
        <is>
          <t>Verify password field masks input characters</t>
        </is>
      </c>
      <c r="E22" s="3" t="inlineStr">
        <is>
          <t>User is on Account Registration page</t>
        </is>
      </c>
      <c r="F22" s="3" t="inlineStr">
        <is>
          <t>1. Open Account Registration form.
2. Type 'SecureP@ss123' into Password field.
3. Verify characters are masked with bullets/asterisks.
4. Test show/hide password toggle if present.</t>
        </is>
      </c>
      <c r="G22" s="3" t="inlineStr">
        <is>
          <t>Input: 'SecureP@ss123'</t>
        </is>
      </c>
      <c r="H22" s="3" t="inlineStr">
        <is>
          <t>Password characters are visually masked to protect sensitive credentials from shoulder surfing.</t>
        </is>
      </c>
      <c r="I22" s="3" t="inlineStr">
        <is>
          <t>Password input was masked with bullets as required by web security standards.</t>
        </is>
      </c>
      <c r="J22" s="2" t="inlineStr">
        <is>
          <t>Security / UI</t>
        </is>
      </c>
      <c r="K22" s="8" t="inlineStr">
        <is>
          <t>P2</t>
        </is>
      </c>
      <c r="L22" s="9" t="inlineStr">
        <is>
          <t>Pass</t>
        </is>
      </c>
      <c r="M22" s="2" t="inlineStr">
        <is>
          <t>-</t>
        </is>
      </c>
    </row>
    <row r="23" ht="42" customHeight="1">
      <c r="A23" s="5" t="inlineStr">
        <is>
          <t>TC_022</t>
        </is>
      </c>
      <c r="B23" s="5" t="inlineStr">
        <is>
          <t>TS_012</t>
        </is>
      </c>
      <c r="C23" s="5" t="inlineStr">
        <is>
          <t>Shopping Cart</t>
        </is>
      </c>
      <c r="D23" s="6" t="inlineStr">
        <is>
          <t>Verify cart subtotal recalculation when item quantity is reduced from 2 to 1</t>
        </is>
      </c>
      <c r="E23" s="6" t="inlineStr">
        <is>
          <t>User has quantity 2 of an item in the cart</t>
        </is>
      </c>
      <c r="F23" s="6" t="inlineStr">
        <is>
          <t>1. Open https://academybugs.com/my-cart/
2. Set item quantity to 1.
3. Click 'Update' button.
4. Verify line item total updates to single unit price.</t>
        </is>
      </c>
      <c r="G23" s="6" t="inlineStr">
        <is>
          <t>Item: Dark Grey Jeans ($65.00), from Qty 2 to Qty 1</t>
        </is>
      </c>
      <c r="H23" s="6" t="inlineStr">
        <is>
          <t>Subtotal updates from $130.00 to $65.00 accurately.</t>
        </is>
      </c>
      <c r="I23" s="6" t="inlineStr">
        <is>
          <t>Subtotal successfully updated to $65.00 upon decrementing quantity to 1.</t>
        </is>
      </c>
      <c r="J23" s="5" t="inlineStr">
        <is>
          <t>Regression Testing</t>
        </is>
      </c>
      <c r="K23" s="7" t="inlineStr">
        <is>
          <t>P1</t>
        </is>
      </c>
      <c r="L23" s="9" t="inlineStr">
        <is>
          <t>Pass</t>
        </is>
      </c>
      <c r="M23" s="5" t="inlineStr">
        <is>
          <t>-</t>
        </is>
      </c>
    </row>
    <row r="24" ht="42" customHeight="1">
      <c r="A24" s="2" t="inlineStr">
        <is>
          <t>TC_023</t>
        </is>
      </c>
      <c r="B24" s="2" t="inlineStr">
        <is>
          <t>TS_025</t>
        </is>
      </c>
      <c r="C24" s="2" t="inlineStr">
        <is>
          <t>Cross-Browser Testing</t>
        </is>
      </c>
      <c r="D24" s="3" t="inlineStr">
        <is>
          <t>Verify Find Bugs catalog and Add to Cart on Google Chrome</t>
        </is>
      </c>
      <c r="E24" s="3" t="inlineStr">
        <is>
          <t>Google Chrome installed on Windows 11</t>
        </is>
      </c>
      <c r="F24" s="3" t="inlineStr">
        <is>
          <t>1. Launch Google Chrome.
2. Open https://academybugs.com/find-bugs/
3. Add 'DNK Yellow Shoes' to cart.
4. Open cart page.
5. Verify layout and rendering.</t>
        </is>
      </c>
      <c r="G24" s="3" t="inlineStr">
        <is>
          <t>Browser: Google Chrome v126+</t>
        </is>
      </c>
      <c r="H24" s="3" t="inlineStr">
        <is>
          <t>Find Bugs catalog and cart function cleanly with zero console layout script errors.</t>
        </is>
      </c>
      <c r="I24" s="3" t="inlineStr">
        <is>
          <t>Chrome executed the catalog display and add-to-cart operations without issues.</t>
        </is>
      </c>
      <c r="J24" s="2" t="inlineStr">
        <is>
          <t>Cross-Browser Testing</t>
        </is>
      </c>
      <c r="K24" s="7" t="inlineStr">
        <is>
          <t>P1</t>
        </is>
      </c>
      <c r="L24" s="9" t="inlineStr">
        <is>
          <t>Pass</t>
        </is>
      </c>
      <c r="M24" s="2" t="inlineStr">
        <is>
          <t>-</t>
        </is>
      </c>
    </row>
    <row r="25" ht="42" customHeight="1">
      <c r="A25" s="5" t="inlineStr">
        <is>
          <t>TC_024</t>
        </is>
      </c>
      <c r="B25" s="5" t="inlineStr">
        <is>
          <t>TS_025</t>
        </is>
      </c>
      <c r="C25" s="5" t="inlineStr">
        <is>
          <t>Cross-Browser Testing</t>
        </is>
      </c>
      <c r="D25" s="6" t="inlineStr">
        <is>
          <t>Verify Find Bugs catalog and Add to Cart on Mozilla Firefox</t>
        </is>
      </c>
      <c r="E25" s="6" t="inlineStr">
        <is>
          <t>Mozilla Firefox installed on Windows 11</t>
        </is>
      </c>
      <c r="F25" s="6" t="inlineStr">
        <is>
          <t>1. Launch Mozilla Firefox.
2. Open https://academybugs.com/find-bugs/
3. Add 'Dark Grey Jeans' to cart.
4. Open cart page.
5. Verify layout and rendering.</t>
        </is>
      </c>
      <c r="G25" s="6" t="inlineStr">
        <is>
          <t>Browser: Mozilla Firefox v128+</t>
        </is>
      </c>
      <c r="H25" s="6" t="inlineStr">
        <is>
          <t>Find Bugs catalog and cart function identically to Chrome without Gecko-specific rendering flaws.</t>
        </is>
      </c>
      <c r="I25" s="6" t="inlineStr">
        <is>
          <t>Firefox rendered the catalog and executed cart flows seamlessly.</t>
        </is>
      </c>
      <c r="J25" s="5" t="inlineStr">
        <is>
          <t>Cross-Browser Testing</t>
        </is>
      </c>
      <c r="K25" s="7" t="inlineStr">
        <is>
          <t>P1</t>
        </is>
      </c>
      <c r="L25" s="9" t="inlineStr">
        <is>
          <t>Pass</t>
        </is>
      </c>
      <c r="M25" s="5" t="inlineStr">
        <is>
          <t>-</t>
        </is>
      </c>
    </row>
    <row r="26" ht="42" customHeight="1">
      <c r="A26" s="2" t="inlineStr">
        <is>
          <t>TC_025</t>
        </is>
      </c>
      <c r="B26" s="2" t="inlineStr">
        <is>
          <t>TS_025</t>
        </is>
      </c>
      <c r="C26" s="2" t="inlineStr">
        <is>
          <t>Cross-Browser Testing</t>
        </is>
      </c>
      <c r="D26" s="3" t="inlineStr">
        <is>
          <t>Verify Find Bugs catalog and Add to Cart on Microsoft Edge</t>
        </is>
      </c>
      <c r="E26" s="3" t="inlineStr">
        <is>
          <t>Microsoft Edge installed on Windows 11</t>
        </is>
      </c>
      <c r="F26" s="3" t="inlineStr">
        <is>
          <t>1. Launch Microsoft Edge.
2. Open https://academybugs.com/find-bugs/
3. Add 'Flamingo Tshirt' to cart.
4. Open cart page.
5. Verify layout and rendering.</t>
        </is>
      </c>
      <c r="G26" s="3" t="inlineStr">
        <is>
          <t>Browser: Microsoft Edge v126+</t>
        </is>
      </c>
      <c r="H26" s="3" t="inlineStr">
        <is>
          <t>Find Bugs catalog and cart function identically with consistent typography and controls.</t>
        </is>
      </c>
      <c r="I26" s="3" t="inlineStr">
        <is>
          <t>Edge rendered the catalog and processed cart interactions successfully.</t>
        </is>
      </c>
      <c r="J26" s="2" t="inlineStr">
        <is>
          <t>Cross-Browser Testing</t>
        </is>
      </c>
      <c r="K26" s="7" t="inlineStr">
        <is>
          <t>P1</t>
        </is>
      </c>
      <c r="L26" s="9" t="inlineStr">
        <is>
          <t>Pass</t>
        </is>
      </c>
      <c r="M26" s="2" t="inlineStr">
        <is>
          <t>-</t>
        </is>
      </c>
    </row>
    <row r="27" ht="42" customHeight="1">
      <c r="A27" s="5" t="inlineStr">
        <is>
          <t>TC_026</t>
        </is>
      </c>
      <c r="B27" s="5" t="inlineStr">
        <is>
          <t>TS_026</t>
        </is>
      </c>
      <c r="C27" s="5" t="inlineStr">
        <is>
          <t>Shopping Cart</t>
        </is>
      </c>
      <c r="D27" s="6" t="inlineStr">
        <is>
          <t>Verify modifying cart item quantity past 2 in shopping cart (Bug #1 Investigation)</t>
        </is>
      </c>
      <c r="E27" s="6" t="inlineStr">
        <is>
          <t>User is on https://academybugs.com/find-bugs/ with products added to cart</t>
        </is>
      </c>
      <c r="F27" s="6" t="inlineStr">
        <is>
          <t>1. Open https://academybugs.com/find-bugs/
2. Add one or more products to the cart.
3. Click 'View Cart' link at top of page.
4. In the cart table, set product quantity to 3 or more.
5. Click the 'Update' button below line item.</t>
        </is>
      </c>
      <c r="G27" s="6" t="inlineStr">
        <is>
          <t>Product: DNK Yellow Shoes, Target Quantity: 3 or 4</t>
        </is>
      </c>
      <c r="H27" s="6" t="inlineStr">
        <is>
          <t>The product quantity can be increased past 2, and subtotal recalculates accurately.</t>
        </is>
      </c>
      <c r="I27" s="6" t="inlineStr">
        <is>
          <t>Defect reproduced: When clicking the update button, the product quantity automatically resets back to 2. User is prevented from purchasing 3 or more units.</t>
        </is>
      </c>
      <c r="J27" s="5" t="inlineStr">
        <is>
          <t>Bug Reproduction Testing</t>
        </is>
      </c>
      <c r="K27" s="7" t="inlineStr">
        <is>
          <t>P1</t>
        </is>
      </c>
      <c r="L27" s="4" t="inlineStr">
        <is>
          <t>Fail</t>
        </is>
      </c>
      <c r="M27" s="5" t="inlineStr">
        <is>
          <t>BUG_001</t>
        </is>
      </c>
    </row>
    <row r="28" ht="42" customHeight="1">
      <c r="A28" s="2" t="inlineStr">
        <is>
          <t>TC_027</t>
        </is>
      </c>
      <c r="B28" s="2" t="inlineStr">
        <is>
          <t>TS_026</t>
        </is>
      </c>
      <c r="C28" s="2" t="inlineStr">
        <is>
          <t>Shopping Cart</t>
        </is>
      </c>
      <c r="D28" s="3" t="inlineStr">
        <is>
          <t>Verify shopping cart grand total mathematical calculation (Bug #2 Investigation)</t>
        </is>
      </c>
      <c r="E28" s="3" t="inlineStr">
        <is>
          <t>User has added one or more items to the cart</t>
        </is>
      </c>
      <c r="F28" s="3" t="inlineStr">
        <is>
          <t>1. Open https://academybugs.com/find-bugs/
2. Add DNK Yellow Shoes ($120.00) to the cart.
3. Click 'View Cart' or proceed to checkout.
4. Calculate sum of items: $120.00.
5. Inspect displayed Grand Total.</t>
        </is>
      </c>
      <c r="G28" s="3" t="inlineStr">
        <is>
          <t>Item: DNK Yellow Shoes ($120.00)</t>
        </is>
      </c>
      <c r="H28" s="3" t="inlineStr">
        <is>
          <t>The grand total is equal to the mathematical sum of all products in the cart ($120.00).</t>
        </is>
      </c>
      <c r="I28" s="3" t="inlineStr">
        <is>
          <t>Defect reproduced: The grand total displays $220.00, which is exactly $100 more than the sum of all products in the cart.</t>
        </is>
      </c>
      <c r="J28" s="2" t="inlineStr">
        <is>
          <t>Bug Reproduction Testing</t>
        </is>
      </c>
      <c r="K28" s="7" t="inlineStr">
        <is>
          <t>P1</t>
        </is>
      </c>
      <c r="L28" s="4" t="inlineStr">
        <is>
          <t>Fail</t>
        </is>
      </c>
      <c r="M28" s="2" t="inlineStr">
        <is>
          <t>BUG_002</t>
        </is>
      </c>
    </row>
    <row r="29" ht="42" customHeight="1">
      <c r="A29" s="5" t="inlineStr">
        <is>
          <t>TC_028</t>
        </is>
      </c>
      <c r="B29" s="5" t="inlineStr">
        <is>
          <t>TS_026</t>
        </is>
      </c>
      <c r="C29" s="5" t="inlineStr">
        <is>
          <t>Product Details</t>
        </is>
      </c>
      <c r="D29" s="6" t="inlineStr">
        <is>
          <t>Verify manufacturer link navigation on Product Details page (Bug #3 Investigation)</t>
        </is>
      </c>
      <c r="E29" s="6" t="inlineStr">
        <is>
          <t>User is on Find Bugs product listing page</t>
        </is>
      </c>
      <c r="F29" s="6" t="inlineStr">
        <is>
          <t>1. Open https://academybugs.com/find-bugs/
2. Click on a product to open Product Details (e.g. DNK Yellow Shoes).
3. Locate the Manufacturer link under the quantity selector.
4. Click the Manufacturer link.
5. Observe destination page.</t>
        </is>
      </c>
      <c r="G29" s="6" t="inlineStr">
        <is>
          <t>Manufacturer link: #manufacturer-bug a</t>
        </is>
      </c>
      <c r="H29" s="6" t="inlineStr">
        <is>
          <t>The manufacturer link navigates user to an appropriate manufacturer information or product collection page.</t>
        </is>
      </c>
      <c r="I29" s="6" t="inlineStr">
        <is>
          <t>Defect reproduced: The manufacturer link opens a broken error page instead of brand details.</t>
        </is>
      </c>
      <c r="J29" s="5" t="inlineStr">
        <is>
          <t>Bug Reproduction Testing</t>
        </is>
      </c>
      <c r="K29" s="8" t="inlineStr">
        <is>
          <t>P2</t>
        </is>
      </c>
      <c r="L29" s="4" t="inlineStr">
        <is>
          <t>Fail</t>
        </is>
      </c>
      <c r="M29" s="5" t="inlineStr">
        <is>
          <t>BUG_003</t>
        </is>
      </c>
    </row>
    <row r="30" ht="42" customHeight="1">
      <c r="A30" s="2" t="inlineStr">
        <is>
          <t>TC_029</t>
        </is>
      </c>
      <c r="B30" s="2" t="inlineStr">
        <is>
          <t>TS_026</t>
        </is>
      </c>
      <c r="C30" s="2" t="inlineStr">
        <is>
          <t>Catalog Discovery</t>
        </is>
      </c>
      <c r="D30" s="3" t="inlineStr">
        <is>
          <t>Verify 'Filter by Price' functionality on product list and detail pages (Bug #4 Investigation)</t>
        </is>
      </c>
      <c r="E30" s="3" t="inlineStr">
        <is>
          <t>User is on Find Bugs page or single product page with sidebar</t>
        </is>
      </c>
      <c r="F30" s="3" t="inlineStr">
        <is>
          <t>1. Open https://academybugs.com/find-bugs/
2. Locate the 'Filter by Price' section in the right sidebar menu.
3. Select any price bracket (e.g. $25.00 - $50.00).
4. Also test price filter from within a product details page.</t>
        </is>
      </c>
      <c r="G30" s="3" t="inlineStr">
        <is>
          <t>Price Range: $25.00 - $50.00</t>
        </is>
      </c>
      <c r="H30" s="3" t="inlineStr">
        <is>
          <t>A filtered list displaying only products within the selected price range is shown.</t>
        </is>
      </c>
      <c r="I30" s="3" t="inlineStr">
        <is>
          <t>Defect reproduced: The page simply reloads without applying the filter; all products remain displayed.</t>
        </is>
      </c>
      <c r="J30" s="2" t="inlineStr">
        <is>
          <t>Bug Reproduction Testing</t>
        </is>
      </c>
      <c r="K30" s="8" t="inlineStr">
        <is>
          <t>P2</t>
        </is>
      </c>
      <c r="L30" s="4" t="inlineStr">
        <is>
          <t>Fail</t>
        </is>
      </c>
      <c r="M30" s="2" t="inlineStr">
        <is>
          <t>BUG_004</t>
        </is>
      </c>
    </row>
    <row r="31" ht="42" customHeight="1">
      <c r="A31" s="5" t="inlineStr">
        <is>
          <t>TC_030</t>
        </is>
      </c>
      <c r="B31" s="5" t="inlineStr">
        <is>
          <t>TS_026</t>
        </is>
      </c>
      <c r="C31" s="5" t="inlineStr">
        <is>
          <t>Product Details</t>
        </is>
      </c>
      <c r="D31" s="6" t="inlineStr">
        <is>
          <t>Verify Twitter share button on Product Details page (Bug #5 Investigation)</t>
        </is>
      </c>
      <c r="E31" s="6" t="inlineStr">
        <is>
          <t>User is on a product details page</t>
        </is>
      </c>
      <c r="F31" s="6" t="inlineStr">
        <is>
          <t>1. Open https://academybugs.com/find-bugs/
2. Open any product (e.g. DNK Yellow Shoes).
3. Scroll down to the social share buttons.
4. Click on the Twitter share icon.
5. Inspect opened URL.</t>
        </is>
      </c>
      <c r="G31" s="6" t="inlineStr">
        <is>
          <t>Social icon: Twitter Share</t>
        </is>
      </c>
      <c r="H31" s="6" t="inlineStr">
        <is>
          <t>The Twitter share button opens Twitter/X intent URL allowing user to share product details.</t>
        </is>
      </c>
      <c r="I31" s="6" t="inlineStr">
        <is>
          <t>Defect reproduced: The Twitter share button navigates to a malformed URL ('https://twitter.cointent/tweet?original_referer=#') displaying an error page.</t>
        </is>
      </c>
      <c r="J31" s="5" t="inlineStr">
        <is>
          <t>Bug Reproduction Testing</t>
        </is>
      </c>
      <c r="K31" s="10" t="inlineStr">
        <is>
          <t>P3</t>
        </is>
      </c>
      <c r="L31" s="4" t="inlineStr">
        <is>
          <t>Fail</t>
        </is>
      </c>
      <c r="M31" s="5" t="inlineStr">
        <is>
          <t>BUG_005</t>
        </is>
      </c>
    </row>
    <row r="32" ht="42" customHeight="1">
      <c r="A32" s="2" t="inlineStr">
        <is>
          <t>TC_031</t>
        </is>
      </c>
      <c r="B32" s="2" t="inlineStr">
        <is>
          <t>TS_026</t>
        </is>
      </c>
      <c r="C32" s="2" t="inlineStr">
        <is>
          <t>Product Catalog</t>
        </is>
      </c>
      <c r="D32" s="3" t="inlineStr">
        <is>
          <t>Verify product image display boundaries in catalog cards (Bug #6 Investigation)</t>
        </is>
      </c>
      <c r="E32" s="3" t="inlineStr">
        <is>
          <t>User is on Find Bugs catalog page</t>
        </is>
      </c>
      <c r="F32" s="3" t="inlineStr">
        <is>
          <t>1. Open https://academybugs.com/find-bugs/
2. Inspect product cards in the store listing grid.
3. Observe image boundaries, container width, and aspect ratios.</t>
        </is>
      </c>
      <c r="G32" s="3" t="inlineStr">
        <is>
          <t>Product Grid Cards</t>
        </is>
      </c>
      <c r="H32" s="3" t="inlineStr">
        <is>
          <t>Product images fill the display container cleanly and center without cutoffs or blank margins.</t>
        </is>
      </c>
      <c r="I32" s="3" t="inlineStr">
        <is>
          <t>Defect reproduced: Product image fails to fill the container entirely, exhibiting noticeable blank white space on the right side.</t>
        </is>
      </c>
      <c r="J32" s="2" t="inlineStr">
        <is>
          <t>Bug Reproduction Testing</t>
        </is>
      </c>
      <c r="K32" s="10" t="inlineStr">
        <is>
          <t>P3</t>
        </is>
      </c>
      <c r="L32" s="4" t="inlineStr">
        <is>
          <t>Fail</t>
        </is>
      </c>
      <c r="M32" s="2" t="inlineStr">
        <is>
          <t>BUG_006</t>
        </is>
      </c>
    </row>
    <row r="33" ht="42" customHeight="1">
      <c r="A33" s="5" t="inlineStr">
        <is>
          <t>TC_032</t>
        </is>
      </c>
      <c r="B33" s="5" t="inlineStr">
        <is>
          <t>TS_026</t>
        </is>
      </c>
      <c r="C33" s="5" t="inlineStr">
        <is>
          <t>User Authentication</t>
        </is>
      </c>
      <c r="D33" s="6" t="inlineStr">
        <is>
          <t>Verify vertical text alignment of 'Sign In' button label (Bug #7 Investigation)</t>
        </is>
      </c>
      <c r="E33" s="6" t="inlineStr">
        <is>
          <t>User is on Account Sign In form</t>
        </is>
      </c>
      <c r="F33" s="6" t="inlineStr">
        <is>
          <t>1. Open https://academybugs.com/find-bugs/
2. Open a product, scroll to sidebar 'Your Account' section.
3. Click 'Sign In' to open sign-in view.
4. Inspect the caption of the 'Sign In' button.</t>
        </is>
      </c>
      <c r="G33" s="6" t="inlineStr">
        <is>
          <t>UI Element: Sign In Button</t>
        </is>
      </c>
      <c r="H33" s="6" t="inlineStr">
        <is>
          <t>The caption of the 'Sign In' button is centered vertically within the button container.</t>
        </is>
      </c>
      <c r="I33" s="6" t="inlineStr">
        <is>
          <t>Defect reproduced: The caption of the 'Sign In' button is misaligned vertically, sitting abnormally low in the button frame.</t>
        </is>
      </c>
      <c r="J33" s="5" t="inlineStr">
        <is>
          <t>Bug Reproduction Testing</t>
        </is>
      </c>
      <c r="K33" s="10" t="inlineStr">
        <is>
          <t>P3</t>
        </is>
      </c>
      <c r="L33" s="4" t="inlineStr">
        <is>
          <t>Fail</t>
        </is>
      </c>
      <c r="M33" s="5" t="inlineStr">
        <is>
          <t>BUG_007</t>
        </is>
      </c>
    </row>
    <row r="34" ht="42" customHeight="1">
      <c r="A34" s="2" t="inlineStr">
        <is>
          <t>TC_033</t>
        </is>
      </c>
      <c r="B34" s="2" t="inlineStr">
        <is>
          <t>TS_026</t>
        </is>
      </c>
      <c r="C34" s="2" t="inlineStr">
        <is>
          <t>Product Catalog</t>
        </is>
      </c>
      <c r="D34" s="3" t="inlineStr">
        <is>
          <t>Verify vertical spacing beneath catalog product images (Bug #8 Investigation)</t>
        </is>
      </c>
      <c r="E34" s="3" t="inlineStr">
        <is>
          <t>User is on Find Bugs catalog page</t>
        </is>
      </c>
      <c r="F34" s="3" t="inlineStr">
        <is>
          <t>1. Open https://academybugs.com/find-bugs/
2. Inspect the spacing between product images and product titles across cards.
3. Measure padding/margins underneath thumbnails.</t>
        </is>
      </c>
      <c r="G34" s="3" t="inlineStr">
        <is>
          <t>UI Element: Product Card Layout</t>
        </is>
      </c>
      <c r="H34" s="3" t="inlineStr">
        <is>
          <t>Item images have standard, uniform spacing underneath separating them from the title.</t>
        </is>
      </c>
      <c r="I34" s="3" t="inlineStr">
        <is>
          <t>Defect reproduced: Item images exhibit excessive and unnecessary vertical whitespace underneath before the title.</t>
        </is>
      </c>
      <c r="J34" s="2" t="inlineStr">
        <is>
          <t>Bug Reproduction Testing</t>
        </is>
      </c>
      <c r="K34" s="10" t="inlineStr">
        <is>
          <t>P3</t>
        </is>
      </c>
      <c r="L34" s="4" t="inlineStr">
        <is>
          <t>Fail</t>
        </is>
      </c>
      <c r="M34" s="2" t="inlineStr">
        <is>
          <t>BUG_008</t>
        </is>
      </c>
    </row>
    <row r="35" ht="42" customHeight="1">
      <c r="A35" s="5" t="inlineStr">
        <is>
          <t>TC_034</t>
        </is>
      </c>
      <c r="B35" s="5" t="inlineStr">
        <is>
          <t>TS_026</t>
        </is>
      </c>
      <c r="C35" s="5" t="inlineStr">
        <is>
          <t>Navigation &amp; Layout</t>
        </is>
      </c>
      <c r="D35" s="6" t="inlineStr">
        <is>
          <t>Verify sidebar 'Sign In' button boundary against page footer (Bug #9 Investigation)</t>
        </is>
      </c>
      <c r="E35" s="6" t="inlineStr">
        <is>
          <t>User is on product details page with long sidebar</t>
        </is>
      </c>
      <c r="F35" s="6" t="inlineStr">
        <is>
          <t>1. Open https://academybugs.com/find-bugs/
2. Open any product.
3. Scroll down to the bottom of the right-hand sidebar menu.
4. Inspect the position of the 'Sign In' button relative to footer widgets.</t>
        </is>
      </c>
      <c r="G35" s="6" t="inlineStr">
        <is>
          <t>UI Element: Sidebar Sign In Button &amp; Footer</t>
        </is>
      </c>
      <c r="H35" s="6" t="inlineStr">
        <is>
          <t>The 'Sign In' button remains contained within the sidebar section above the footer.</t>
        </is>
      </c>
      <c r="I35" s="6" t="inlineStr">
        <is>
          <t>Defect reproduced: The 'Sign In' button overflows its container and directly overlaps the footer section.</t>
        </is>
      </c>
      <c r="J35" s="5" t="inlineStr">
        <is>
          <t>Bug Reproduction Testing</t>
        </is>
      </c>
      <c r="K35" s="10" t="inlineStr">
        <is>
          <t>P3</t>
        </is>
      </c>
      <c r="L35" s="4" t="inlineStr">
        <is>
          <t>Fail</t>
        </is>
      </c>
      <c r="M35" s="5" t="inlineStr">
        <is>
          <t>BUG_009</t>
        </is>
      </c>
    </row>
    <row r="36" ht="42" customHeight="1">
      <c r="A36" s="2" t="inlineStr">
        <is>
          <t>TC_035</t>
        </is>
      </c>
      <c r="B36" s="2" t="inlineStr">
        <is>
          <t>TS_026</t>
        </is>
      </c>
      <c r="C36" s="2" t="inlineStr">
        <is>
          <t>User Authentication</t>
        </is>
      </c>
      <c r="D36" s="3" t="inlineStr">
        <is>
          <t>Verify alignment of Password field title in sign-in form (Bug #10 Investigation)</t>
        </is>
      </c>
      <c r="E36" s="3" t="inlineStr">
        <is>
          <t>User is on sign-in form or sidebar login form</t>
        </is>
      </c>
      <c r="F36" s="3" t="inlineStr">
        <is>
          <t>1. Open https://academybugs.com/find-bugs/
2. Navigate to Sign In form.
3. Inspect the field labels for 'Email' and 'Password'.
4. Observe horizontal alignment.</t>
        </is>
      </c>
      <c r="G36" s="3" t="inlineStr">
        <is>
          <t>UI Elements: Email and Password Labels</t>
        </is>
      </c>
      <c r="H36" s="3" t="inlineStr">
        <is>
          <t>The title/label of the password field is aligned uniformly with the field above it.</t>
        </is>
      </c>
      <c r="I36" s="3" t="inlineStr">
        <is>
          <t>Defect reproduced: The title of the password field is noticeably misaligned and shifted relative to the email field above.</t>
        </is>
      </c>
      <c r="J36" s="2" t="inlineStr">
        <is>
          <t>Bug Reproduction Testing</t>
        </is>
      </c>
      <c r="K36" s="10" t="inlineStr">
        <is>
          <t>P3</t>
        </is>
      </c>
      <c r="L36" s="4" t="inlineStr">
        <is>
          <t>Fail</t>
        </is>
      </c>
      <c r="M36" s="2" t="inlineStr">
        <is>
          <t>BUG_010</t>
        </is>
      </c>
    </row>
    <row r="37" ht="42" customHeight="1">
      <c r="A37" s="5" t="inlineStr">
        <is>
          <t>TC_036</t>
        </is>
      </c>
      <c r="B37" s="5" t="inlineStr">
        <is>
          <t>TS_026</t>
        </is>
      </c>
      <c r="C37" s="5" t="inlineStr">
        <is>
          <t>User Registration</t>
        </is>
      </c>
      <c r="D37" s="6" t="inlineStr">
        <is>
          <t>Verify localization and language of text under 'New User' section (Bug #11 Investigation)</t>
        </is>
      </c>
      <c r="E37" s="6" t="inlineStr">
        <is>
          <t>User is on Account Sign Up / Register page</t>
        </is>
      </c>
      <c r="F37" s="6" t="inlineStr">
        <is>
          <t>1. Open https://academybugs.com/find-bugs/
2. Open a product, scroll to sidebar 'Your Account' section.
3. Click 'Sign In' / 'Sign Up'.
4. Inspect the introductory text under the 'New User' section.</t>
        </is>
      </c>
      <c r="G37" s="6" t="inlineStr">
        <is>
          <t>Content Element: New User Section Copy</t>
        </is>
      </c>
      <c r="H37" s="6" t="inlineStr">
        <is>
          <t>The text under the 'New User' section is written in clear, professional English.</t>
        </is>
      </c>
      <c r="I37" s="6" t="inlineStr">
        <is>
          <t>Defect reproduced: The descriptive text under the 'New User' section contains non-English / Latin placeholder filler text.</t>
        </is>
      </c>
      <c r="J37" s="5" t="inlineStr">
        <is>
          <t>Bug Reproduction Testing</t>
        </is>
      </c>
      <c r="K37" s="10" t="inlineStr">
        <is>
          <t>P3</t>
        </is>
      </c>
      <c r="L37" s="4" t="inlineStr">
        <is>
          <t>Fail</t>
        </is>
      </c>
      <c r="M37" s="5" t="inlineStr">
        <is>
          <t>BUG_011</t>
        </is>
      </c>
    </row>
    <row r="38" ht="42" customHeight="1">
      <c r="A38" s="2" t="inlineStr">
        <is>
          <t>TC_037</t>
        </is>
      </c>
      <c r="B38" s="2" t="inlineStr">
        <is>
          <t>TS_026</t>
        </is>
      </c>
      <c r="C38" s="2" t="inlineStr">
        <is>
          <t>Shopping Cart</t>
        </is>
      </c>
      <c r="D38" s="3" t="inlineStr">
        <is>
          <t>Verify character encoding in Shopping Cart hover popup tooltip (Bug #12 Investigation)</t>
        </is>
      </c>
      <c r="E38" s="3" t="inlineStr">
        <is>
          <t>User has items added to shopping cart</t>
        </is>
      </c>
      <c r="F38" s="3" t="inlineStr">
        <is>
          <t>1. Open https://academybugs.com/find-bugs/
2. Add one or more products to cart.
3. Open a product and find 'Shopping Cart' in the right sidebar.
4. Hover mouse over the 'Shopping Cart' caption.
5. Inspect the tooltip popup.</t>
        </is>
      </c>
      <c r="G38" s="3" t="inlineStr">
        <is>
          <t>UI Element: Sidebar Cart Caption Hover Tooltip</t>
        </is>
      </c>
      <c r="H38" s="3" t="inlineStr">
        <is>
          <t>All characters in the popup tooltip are clear, properly encoded, and readable.</t>
        </is>
      </c>
      <c r="I38" s="3" t="inlineStr">
        <is>
          <t>Defect reproduced: The shopping cart hover popup displays corrupted, unreadable character encoding symbols.</t>
        </is>
      </c>
      <c r="J38" s="2" t="inlineStr">
        <is>
          <t>Bug Reproduction Testing</t>
        </is>
      </c>
      <c r="K38" s="10" t="inlineStr">
        <is>
          <t>P3</t>
        </is>
      </c>
      <c r="L38" s="4" t="inlineStr">
        <is>
          <t>Fail</t>
        </is>
      </c>
      <c r="M38" s="2" t="inlineStr">
        <is>
          <t>BUG_012</t>
        </is>
      </c>
    </row>
    <row r="39" ht="42" customHeight="1">
      <c r="A39" s="5" t="inlineStr">
        <is>
          <t>TC_038</t>
        </is>
      </c>
      <c r="B39" s="5" t="inlineStr">
        <is>
          <t>TS_026</t>
        </is>
      </c>
      <c r="C39" s="5" t="inlineStr">
        <is>
          <t>Product Details</t>
        </is>
      </c>
      <c r="D39" s="6" t="inlineStr">
        <is>
          <t>Verify language and localization of Product Descriptions (Bug #13 Investigation)</t>
        </is>
      </c>
      <c r="E39" s="6" t="inlineStr">
        <is>
          <t>User is on Product Details page</t>
        </is>
      </c>
      <c r="F39" s="6" t="inlineStr">
        <is>
          <t>1. Open https://academybugs.com/find-bugs/
2. Click on 'DNK Yellow Shoes' or similar item.
3. Read the short description next to price.
4. Read the detailed description under the Description tab.</t>
        </is>
      </c>
      <c r="G39" s="6" t="inlineStr">
        <is>
          <t>Product: DNK Yellow Shoes description tabs</t>
        </is>
      </c>
      <c r="H39" s="6" t="inlineStr">
        <is>
          <t>The short description and detailed product description are written in fluent English.</t>
        </is>
      </c>
      <c r="I39" s="6" t="inlineStr">
        <is>
          <t>Defect reproduced: Both the short description and main description tabs contain untranslated Latin dummy text ('Lorem ipsum...').</t>
        </is>
      </c>
      <c r="J39" s="5" t="inlineStr">
        <is>
          <t>Bug Reproduction Testing</t>
        </is>
      </c>
      <c r="K39" s="8" t="inlineStr">
        <is>
          <t>P2</t>
        </is>
      </c>
      <c r="L39" s="4" t="inlineStr">
        <is>
          <t>Fail</t>
        </is>
      </c>
      <c r="M39" s="5" t="inlineStr">
        <is>
          <t>BUG_013</t>
        </is>
      </c>
    </row>
    <row r="40" ht="42" customHeight="1">
      <c r="A40" s="2" t="inlineStr">
        <is>
          <t>TC_039</t>
        </is>
      </c>
      <c r="B40" s="2" t="inlineStr">
        <is>
          <t>TS_026</t>
        </is>
      </c>
      <c r="C40" s="2" t="inlineStr">
        <is>
          <t>Product Details</t>
        </is>
      </c>
      <c r="D40" s="3" t="inlineStr">
        <is>
          <t>Verify spelling of color variant options (Bug #14 Investigation)</t>
        </is>
      </c>
      <c r="E40" s="3" t="inlineStr">
        <is>
          <t>User is on a product details page with color choices</t>
        </is>
      </c>
      <c r="F40" s="3" t="inlineStr">
        <is>
          <t>1. Open https://academybugs.com/find-bugs/
2. Open a product with color options (e.g. Flamingo Tshirt / Blue Hoodie).
3. Inspect color option dropdown / swatches.
4. Verify spelling of Yellow and Orange options.</t>
        </is>
      </c>
      <c r="G40" s="3" t="inlineStr">
        <is>
          <t>Color Options: Yellow, Orange</t>
        </is>
      </c>
      <c r="H40" s="3" t="inlineStr">
        <is>
          <t>The yellow and orange color options are spelled correctly ('Yellow', 'Orange').</t>
        </is>
      </c>
      <c r="I40" s="3" t="inlineStr">
        <is>
          <t>Defect reproduced: Yellow is misspelled as 'Yelow' and Orange is misspelled as 'Orang'.</t>
        </is>
      </c>
      <c r="J40" s="2" t="inlineStr">
        <is>
          <t>Bug Reproduction Testing</t>
        </is>
      </c>
      <c r="K40" s="10" t="inlineStr">
        <is>
          <t>P3</t>
        </is>
      </c>
      <c r="L40" s="4" t="inlineStr">
        <is>
          <t>Fail</t>
        </is>
      </c>
      <c r="M40" s="2" t="inlineStr">
        <is>
          <t>BUG_014</t>
        </is>
      </c>
    </row>
    <row r="41" ht="42" customHeight="1">
      <c r="A41" s="5" t="inlineStr">
        <is>
          <t>TC_040</t>
        </is>
      </c>
      <c r="B41" s="5" t="inlineStr">
        <is>
          <t>TS_026</t>
        </is>
      </c>
      <c r="C41" s="5" t="inlineStr">
        <is>
          <t>Shopping Cart</t>
        </is>
      </c>
      <c r="D41" s="6" t="inlineStr">
        <is>
          <t>Verify typography and letter spacing of 'Return to Store' button (Bug #15 Investigation)</t>
        </is>
      </c>
      <c r="E41" s="6" t="inlineStr">
        <is>
          <t>User is in shopping cart with zero items</t>
        </is>
      </c>
      <c r="F41" s="6" t="inlineStr">
        <is>
          <t>1. Open https://academybugs.com/find-bugs/
2. Open a product and access cart from sidebar.
3. Clear all items from cart so cart is empty.
4. Inspect the caption of the 'Return to Store' button.</t>
        </is>
      </c>
      <c r="G41" s="6" t="inlineStr">
        <is>
          <t>UI Button: Return to Store</t>
        </is>
      </c>
      <c r="H41" s="6" t="inlineStr">
        <is>
          <t>The caption of the 'Return to Store' button is formatted with standard, uniform letter spacing.</t>
        </is>
      </c>
      <c r="I41" s="6" t="inlineStr">
        <is>
          <t>Defect reproduced: There is an erroneous large whitespace gap before the last letter ('Return to Stor e').</t>
        </is>
      </c>
      <c r="J41" s="5" t="inlineStr">
        <is>
          <t>Bug Reproduction Testing</t>
        </is>
      </c>
      <c r="K41" s="10" t="inlineStr">
        <is>
          <t>P3</t>
        </is>
      </c>
      <c r="L41" s="4" t="inlineStr">
        <is>
          <t>Fail</t>
        </is>
      </c>
      <c r="M41" s="5" t="inlineStr">
        <is>
          <t>BUG_015</t>
        </is>
      </c>
    </row>
    <row r="42" ht="42" customHeight="1">
      <c r="A42" s="2" t="inlineStr">
        <is>
          <t>TC_041</t>
        </is>
      </c>
      <c r="B42" s="2" t="inlineStr">
        <is>
          <t>TS_026</t>
        </is>
      </c>
      <c r="C42" s="2" t="inlineStr">
        <is>
          <t>Account Management</t>
        </is>
      </c>
      <c r="D42" s="3" t="inlineStr">
        <is>
          <t>Verify updating user Billing Information from account portal (Bug #16 Investigation)</t>
        </is>
      </c>
      <c r="E42" s="3" t="inlineStr">
        <is>
          <t>User is logged into account on AcademyBugs</t>
        </is>
      </c>
      <c r="F42" s="3" t="inlineStr">
        <is>
          <t>1. Open https://academybugs.com/find-bugs/
2. Sign in to account via sidebar widget.
3. Select 'Billing Information' from account menu.
4. Fill in or modify billing details.
5. Click 'Update' button.</t>
        </is>
      </c>
      <c r="G42" s="3" t="inlineStr">
        <is>
          <t>Form: Billing Information Form</t>
        </is>
      </c>
      <c r="H42" s="3" t="inlineStr">
        <is>
          <t>Billing information updates promptly within 1-2 seconds with success feedback.</t>
        </is>
      </c>
      <c r="I42" s="3" t="inlineStr">
        <is>
          <t>Defect reproduced: Page enters an unresolved infinite loading spinner upon clicking 'Update'; changes are not saved.</t>
        </is>
      </c>
      <c r="J42" s="2" t="inlineStr">
        <is>
          <t>Bug Reproduction Testing</t>
        </is>
      </c>
      <c r="K42" s="7" t="inlineStr">
        <is>
          <t>P1</t>
        </is>
      </c>
      <c r="L42" s="4" t="inlineStr">
        <is>
          <t>Fail</t>
        </is>
      </c>
      <c r="M42" s="2" t="inlineStr">
        <is>
          <t>BUG_016</t>
        </is>
      </c>
    </row>
    <row r="43" ht="42" customHeight="1">
      <c r="A43" s="5" t="inlineStr">
        <is>
          <t>TC_042</t>
        </is>
      </c>
      <c r="B43" s="5" t="inlineStr">
        <is>
          <t>TS_026</t>
        </is>
      </c>
      <c r="C43" s="5" t="inlineStr">
        <is>
          <t>Customer Account</t>
        </is>
      </c>
      <c r="D43" s="6" t="inlineStr">
        <is>
          <t>Verify loading Order History in account dashboard (Bug #17 Investigation)</t>
        </is>
      </c>
      <c r="E43" s="6" t="inlineStr">
        <is>
          <t>User is logged into account</t>
        </is>
      </c>
      <c r="F43" s="6" t="inlineStr">
        <is>
          <t>1. Open https://academybugs.com/find-bugs/
2. Sign in or register via sidebar.
3. At the bottom of right sidebar menu, select 'Order History'.
4. Observe page response.</t>
        </is>
      </c>
      <c r="G43" s="6" t="inlineStr">
        <is>
          <t>Section: Order History</t>
        </is>
      </c>
      <c r="H43" s="6" t="inlineStr">
        <is>
          <t>Order History section loads past purchase records or empty order state cleanly within 2 seconds.</t>
        </is>
      </c>
      <c r="I43" s="6" t="inlineStr">
        <is>
          <t>Defect reproduced: Order History section displays an infinite loading spinner and never populates content.</t>
        </is>
      </c>
      <c r="J43" s="5" t="inlineStr">
        <is>
          <t>Bug Reproduction Testing</t>
        </is>
      </c>
      <c r="K43" s="7" t="inlineStr">
        <is>
          <t>P1</t>
        </is>
      </c>
      <c r="L43" s="4" t="inlineStr">
        <is>
          <t>Fail</t>
        </is>
      </c>
      <c r="M43" s="5" t="inlineStr">
        <is>
          <t>BUG_017</t>
        </is>
      </c>
    </row>
    <row r="44" ht="42" customHeight="1">
      <c r="A44" s="2" t="inlineStr">
        <is>
          <t>TC_043</t>
        </is>
      </c>
      <c r="B44" s="2" t="inlineStr">
        <is>
          <t>TS_026</t>
        </is>
      </c>
      <c r="C44" s="2" t="inlineStr">
        <is>
          <t>Customer Account</t>
        </is>
      </c>
      <c r="D44" s="3" t="inlineStr">
        <is>
          <t>Verify loading Billing Address in account dashboard (Bug #18 Investigation)</t>
        </is>
      </c>
      <c r="E44" s="3" t="inlineStr">
        <is>
          <t>User is logged into account</t>
        </is>
      </c>
      <c r="F44" s="3" t="inlineStr">
        <is>
          <t>1. Open https://academybugs.com/find-bugs/
2. Sign in via sidebar.
3. Select Dashboard from account menu.
4. Scroll to / click on 'Billing Address' section.
5. Observe loading behavior.</t>
        </is>
      </c>
      <c r="G44" s="3" t="inlineStr">
        <is>
          <t>Section: Dashboard &gt; Billing Address</t>
        </is>
      </c>
      <c r="H44" s="3" t="inlineStr">
        <is>
          <t>Billing Address section displays current saved address details promptly.</t>
        </is>
      </c>
      <c r="I44" s="3" t="inlineStr">
        <is>
          <t>Defect reproduced: Billing Address section displays an infinite loader and fails to display content.</t>
        </is>
      </c>
      <c r="J44" s="2" t="inlineStr">
        <is>
          <t>Bug Reproduction Testing</t>
        </is>
      </c>
      <c r="K44" s="8" t="inlineStr">
        <is>
          <t>P2</t>
        </is>
      </c>
      <c r="L44" s="4" t="inlineStr">
        <is>
          <t>Fail</t>
        </is>
      </c>
      <c r="M44" s="2" t="inlineStr">
        <is>
          <t>BUG_018</t>
        </is>
      </c>
    </row>
    <row r="45" ht="42" customHeight="1">
      <c r="A45" s="5" t="inlineStr">
        <is>
          <t>TC_044</t>
        </is>
      </c>
      <c r="B45" s="5" t="inlineStr">
        <is>
          <t>TS_026</t>
        </is>
      </c>
      <c r="C45" s="5" t="inlineStr">
        <is>
          <t>Catalog &amp; Navigation</t>
        </is>
      </c>
      <c r="D45" s="6" t="inlineStr">
        <is>
          <t>Verify opening product from 'Hot Item' sidebar widget (Bug #19 Investigation)</t>
        </is>
      </c>
      <c r="E45" s="6" t="inlineStr">
        <is>
          <t>User is on a product details page with sidebar visible</t>
        </is>
      </c>
      <c r="F45" s="6" t="inlineStr">
        <is>
          <t>1. Open https://academybugs.com/find-bugs/
2. Open any product.
3. In right sidebar, locate 'Hot Item' section.
4. Click on the featured product link in Hot Item.
5. Observe page load.</t>
        </is>
      </c>
      <c r="G45" s="6" t="inlineStr">
        <is>
          <t>Target: Featured Hot Item product link</t>
        </is>
      </c>
      <c r="H45" s="6" t="inlineStr">
        <is>
          <t>Featured Hot Item product page loads completely within 2 seconds.</t>
        </is>
      </c>
      <c r="I45" s="6" t="inlineStr">
        <is>
          <t>Defect reproduced: Page hangs in perpetual loading state; the Hot Item product page never finishes loading.</t>
        </is>
      </c>
      <c r="J45" s="5" t="inlineStr">
        <is>
          <t>Bug Reproduction Testing</t>
        </is>
      </c>
      <c r="K45" s="7" t="inlineStr">
        <is>
          <t>P1</t>
        </is>
      </c>
      <c r="L45" s="4" t="inlineStr">
        <is>
          <t>Fail</t>
        </is>
      </c>
      <c r="M45" s="5" t="inlineStr">
        <is>
          <t>BUG_019</t>
        </is>
      </c>
    </row>
    <row r="46" ht="42" customHeight="1">
      <c r="A46" s="2" t="inlineStr">
        <is>
          <t>TC_045</t>
        </is>
      </c>
      <c r="B46" s="2" t="inlineStr">
        <is>
          <t>TS_026</t>
        </is>
      </c>
      <c r="C46" s="2" t="inlineStr">
        <is>
          <t>Product Details</t>
        </is>
      </c>
      <c r="D46" s="3" t="inlineStr">
        <is>
          <t>Verify MySpace social share popup window (Bug #20 Investigation)</t>
        </is>
      </c>
      <c r="E46" s="3" t="inlineStr">
        <is>
          <t>User is on a product details page</t>
        </is>
      </c>
      <c r="F46" s="3" t="inlineStr">
        <is>
          <t>1. Open https://academybugs.com/find-bugs/
2. Open any product.
3. Scroll down to social sharing icons.
4. Click on the 'My Space' share icon.
5. Observe popup window behavior.</t>
        </is>
      </c>
      <c r="G46" s="3" t="inlineStr">
        <is>
          <t>Social Icon: My Space Share</t>
        </is>
      </c>
      <c r="H46" s="3" t="inlineStr">
        <is>
          <t>My Space share window connects or displays standard service response.</t>
        </is>
      </c>
      <c r="I46" s="3" t="inlineStr">
        <is>
          <t>Defect reproduced: The My Space share window opens but loads infinitely without connecting or resolving.</t>
        </is>
      </c>
      <c r="J46" s="2" t="inlineStr">
        <is>
          <t>Bug Reproduction Testing</t>
        </is>
      </c>
      <c r="K46" s="10" t="inlineStr">
        <is>
          <t>P3</t>
        </is>
      </c>
      <c r="L46" s="4" t="inlineStr">
        <is>
          <t>Fail</t>
        </is>
      </c>
      <c r="M46" s="2" t="inlineStr">
        <is>
          <t>BUG_020</t>
        </is>
      </c>
    </row>
    <row r="47" ht="42" customHeight="1">
      <c r="A47" s="5" t="inlineStr">
        <is>
          <t>TC_046</t>
        </is>
      </c>
      <c r="B47" s="5" t="inlineStr">
        <is>
          <t>TS_026</t>
        </is>
      </c>
      <c r="C47" s="5" t="inlineStr">
        <is>
          <t>Product Pricing &amp; Currency</t>
        </is>
      </c>
      <c r="D47" s="6" t="inlineStr">
        <is>
          <t>Verify switching store currency from sidebar dropdown (Bug #21 Investigation)</t>
        </is>
      </c>
      <c r="E47" s="6" t="inlineStr">
        <is>
          <t>User is on a product details page with sidebar visible</t>
        </is>
      </c>
      <c r="F47" s="6" t="inlineStr">
        <is>
          <t>1. Open https://academybugs.com/find-bugs/
2. Open a product.
3. Locate 'Currency' dropdown in right sidebar menu.
4. Select an alternate currency (e.g. EUR or GBP).
5. Observe browser behavior.</t>
        </is>
      </c>
      <c r="G47" s="6" t="inlineStr">
        <is>
          <t>Action: Change Currency selector</t>
        </is>
      </c>
      <c r="H47" s="6" t="inlineStr">
        <is>
          <t>Store prices update dynamically to selected currency without script errors.</t>
        </is>
      </c>
      <c r="I47" s="6" t="inlineStr">
        <is>
          <t>Defect reproduced: Active browser tab freezes completely upon changing currency; CPU spikes, requiring tab force close.</t>
        </is>
      </c>
      <c r="J47" s="5" t="inlineStr">
        <is>
          <t>Bug Reproduction Testing</t>
        </is>
      </c>
      <c r="K47" s="4" t="inlineStr">
        <is>
          <t>P0</t>
        </is>
      </c>
      <c r="L47" s="4" t="inlineStr">
        <is>
          <t>Fail</t>
        </is>
      </c>
      <c r="M47" s="5" t="inlineStr">
        <is>
          <t>BUG_021</t>
        </is>
      </c>
    </row>
    <row r="48" ht="42" customHeight="1">
      <c r="A48" s="2" t="inlineStr">
        <is>
          <t>TC_047</t>
        </is>
      </c>
      <c r="B48" s="2" t="inlineStr">
        <is>
          <t>TS_026</t>
        </is>
      </c>
      <c r="C48" s="2" t="inlineStr">
        <is>
          <t>Catalog Navigation</t>
        </is>
      </c>
      <c r="D48" s="3" t="inlineStr">
        <is>
          <t>Verify clicking results-per-page buttons on catalog (Bug #22 Investigation)</t>
        </is>
      </c>
      <c r="E48" s="3" t="inlineStr">
        <is>
          <t>User is on Find Bugs catalog listing page</t>
        </is>
      </c>
      <c r="F48" s="3" t="inlineStr">
        <is>
          <t>1. Open https://academybugs.com/find-bugs/
2. Locate the results display buttons (item count per page) at top left.
3. Click on any results count button (e.g. 10, 25, 50).
4. Observe browser response.</t>
        </is>
      </c>
      <c r="G48" s="3" t="inlineStr">
        <is>
          <t>UI Buttons: Results per page selector</t>
        </is>
      </c>
      <c r="H48" s="3" t="inlineStr">
        <is>
          <t>Product catalog refreshes to display chosen quantity of items per page.</t>
        </is>
      </c>
      <c r="I48" s="3" t="inlineStr">
        <is>
          <t>Defect reproduced: Page freezes instantly; script stops responding and user cannot interact with page without reloading.</t>
        </is>
      </c>
      <c r="J48" s="2" t="inlineStr">
        <is>
          <t>Bug Reproduction Testing</t>
        </is>
      </c>
      <c r="K48" s="7" t="inlineStr">
        <is>
          <t>P1</t>
        </is>
      </c>
      <c r="L48" s="4" t="inlineStr">
        <is>
          <t>Fail</t>
        </is>
      </c>
      <c r="M48" s="2" t="inlineStr">
        <is>
          <t>BUG_022</t>
        </is>
      </c>
    </row>
    <row r="49" ht="42" customHeight="1">
      <c r="A49" s="5" t="inlineStr">
        <is>
          <t>TC_048</t>
        </is>
      </c>
      <c r="B49" s="5" t="inlineStr">
        <is>
          <t>TS_026</t>
        </is>
      </c>
      <c r="C49" s="5" t="inlineStr">
        <is>
          <t>Product Details</t>
        </is>
      </c>
      <c r="D49" s="6" t="inlineStr">
        <is>
          <t>Verify submitting product review comment in 'Leave a Reply' (Bug #23 Investigation)</t>
        </is>
      </c>
      <c r="E49" s="6" t="inlineStr">
        <is>
          <t>User is on a product details page</t>
        </is>
      </c>
      <c r="F49" s="6" t="inlineStr">
        <is>
          <t>1. Open https://academybugs.com/find-bugs/
2. Open any product.
3. Scroll down to 'Leave a Reply' comment form.
4. Fill in Author Name, Email, and Comment.
5. Click 'Post Comment' button.</t>
        </is>
      </c>
      <c r="G49" s="6" t="inlineStr">
        <is>
          <t>Inputs: Name: John Doe, Email: john@test.com, Comment: Great quality</t>
        </is>
      </c>
      <c r="H49" s="6" t="inlineStr">
        <is>
          <t>Comment is submitted and rendered under product reviews or confirmation is shown.</t>
        </is>
      </c>
      <c r="I49" s="6" t="inlineStr">
        <is>
          <t>Defect reproduced: Active tab becomes completely unresponsive upon clicking 'Post Comment'; client script locks up.</t>
        </is>
      </c>
      <c r="J49" s="5" t="inlineStr">
        <is>
          <t>Bug Reproduction Testing</t>
        </is>
      </c>
      <c r="K49" s="7" t="inlineStr">
        <is>
          <t>P1</t>
        </is>
      </c>
      <c r="L49" s="4" t="inlineStr">
        <is>
          <t>Fail</t>
        </is>
      </c>
      <c r="M49" s="5" t="inlineStr">
        <is>
          <t>BUG_023</t>
        </is>
      </c>
    </row>
    <row r="50" ht="42" customHeight="1">
      <c r="A50" s="2" t="inlineStr">
        <is>
          <t>TC_049</t>
        </is>
      </c>
      <c r="B50" s="2" t="inlineStr">
        <is>
          <t>TS_026</t>
        </is>
      </c>
      <c r="C50" s="2" t="inlineStr">
        <is>
          <t>User Authentication</t>
        </is>
      </c>
      <c r="D50" s="3" t="inlineStr">
        <is>
          <t>Verify 'Retrieve Password' button in password recovery prompt (Bug #24 Investigation)</t>
        </is>
      </c>
      <c r="E50" s="3" t="inlineStr">
        <is>
          <t>User is on password retrieval interface</t>
        </is>
      </c>
      <c r="F50" s="3" t="inlineStr">
        <is>
          <t>1. Open https://academybugs.com/find-bugs/
2. Open product, scroll to sidebar 'Your Account' &gt; click 'Sign Up'.
3. Click 'Forgot Your Password?'.
4. Enter email: 'academybugs.test@example.com'.
5. Click 'Retrieve Password'.</t>
        </is>
      </c>
      <c r="G50" s="3" t="inlineStr">
        <is>
          <t>Email: academybugs.test@example.com</t>
        </is>
      </c>
      <c r="H50" s="3" t="inlineStr">
        <is>
          <t>Password recovery link is dispatched and confirmation message displayed.</t>
        </is>
      </c>
      <c r="I50" s="3" t="inlineStr">
        <is>
          <t>Defect reproduced: Page becomes totally unresponsive upon clicking 'Retrieve Password'; no request is dispatched.</t>
        </is>
      </c>
      <c r="J50" s="2" t="inlineStr">
        <is>
          <t>Bug Reproduction Testing</t>
        </is>
      </c>
      <c r="K50" s="7" t="inlineStr">
        <is>
          <t>P1</t>
        </is>
      </c>
      <c r="L50" s="4" t="inlineStr">
        <is>
          <t>Fail</t>
        </is>
      </c>
      <c r="M50" s="2" t="inlineStr">
        <is>
          <t>BUG_024</t>
        </is>
      </c>
    </row>
    <row r="51" ht="42" customHeight="1">
      <c r="A51" s="5" t="inlineStr">
        <is>
          <t>TC_050</t>
        </is>
      </c>
      <c r="B51" s="5" t="inlineStr">
        <is>
          <t>TS_026</t>
        </is>
      </c>
      <c r="C51" s="5" t="inlineStr">
        <is>
          <t>Product Details</t>
        </is>
      </c>
      <c r="D51" s="6" t="inlineStr">
        <is>
          <t>Verify increasing quantity when Green or Pink color variant is chosen (Bug #25 Investigation)</t>
        </is>
      </c>
      <c r="E51" s="6" t="inlineStr">
        <is>
          <t>User is on product details page with color options</t>
        </is>
      </c>
      <c r="F51" s="6" t="inlineStr">
        <is>
          <t>1. Open https://academybugs.com/find-bugs/
2. Open a product with color options (e.g. Flamingo Tshirt / Blue Hoodie).
3. Choose 'Green' or 'Pink' color variant.
4. Increase product quantity by 1 or more using arrows or input.
5. Observe page response.</t>
        </is>
      </c>
      <c r="G51" s="6" t="inlineStr">
        <is>
          <t>Variant: Pink or Green, Quantity: 2+</t>
        </is>
      </c>
      <c r="H51" s="6" t="inlineStr">
        <is>
          <t>Quantity increments smoothly and total price updates based on chosen variant.</t>
        </is>
      </c>
      <c r="I51" s="6" t="inlineStr">
        <is>
          <t>Defect reproduced: Page completely freezes and crashes when attempting to increase quantity with green or pink color selected.</t>
        </is>
      </c>
      <c r="J51" s="5" t="inlineStr">
        <is>
          <t>Bug Reproduction Testing</t>
        </is>
      </c>
      <c r="K51" s="4" t="inlineStr">
        <is>
          <t>P0</t>
        </is>
      </c>
      <c r="L51" s="4" t="inlineStr">
        <is>
          <t>Fail</t>
        </is>
      </c>
      <c r="M51" s="5" t="inlineStr">
        <is>
          <t>BUG_025</t>
        </is>
      </c>
    </row>
  </sheetData>
  <autoFilter ref="A1:M51"/>
  <pageMargins left="0.75" right="0.75" top="1" bottom="1" header="0.5" footer="0.5"/>
</worksheet>
</file>

<file path=xl/worksheets/sheet3.xml><?xml version="1.0" encoding="utf-8"?>
<worksheet xmlns="http://schemas.openxmlformats.org/spreadsheetml/2006/main">
  <sheetPr>
    <tabColor rgb="00DC2626"/>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34" customWidth="1" min="5" max="5"/>
    <col width="34" customWidth="1" min="6" max="6"/>
    <col width="16" customWidth="1" min="7" max="7"/>
    <col width="46" customWidth="1" min="8" max="8"/>
    <col width="36" customWidth="1" min="9" max="9"/>
    <col width="36" customWidth="1" min="10" max="10"/>
    <col width="16" customWidth="1" min="11" max="11"/>
    <col width="16" customWidth="1" min="12" max="12"/>
    <col width="16" customWidth="1" min="13" max="13"/>
    <col width="16" customWidth="1" min="14" max="14"/>
    <col width="28" customWidth="1" min="15" max="15"/>
    <col width="24" customWidth="1" min="16" max="16"/>
    <col width="28" customWidth="1" min="17" max="17"/>
  </cols>
  <sheetData>
    <row r="1" ht="28" customHeight="1">
      <c r="A1" s="1" t="inlineStr">
        <is>
          <t>Defect ID</t>
        </is>
      </c>
      <c r="B1" s="1" t="inlineStr">
        <is>
          <t>Test Case ID</t>
        </is>
      </c>
      <c r="C1" s="1" t="inlineStr">
        <is>
          <t>Bug Category</t>
        </is>
      </c>
      <c r="D1" s="1" t="inlineStr">
        <is>
          <t>Module</t>
        </is>
      </c>
      <c r="E1" s="1" t="inlineStr">
        <is>
          <t>Issue Title</t>
        </is>
      </c>
      <c r="F1" s="1" t="inlineStr">
        <is>
          <t>Description</t>
        </is>
      </c>
      <c r="G1" s="1" t="inlineStr">
        <is>
          <t>Preconditions</t>
        </is>
      </c>
      <c r="H1" s="1" t="inlineStr">
        <is>
          <t>Steps to Reproduce</t>
        </is>
      </c>
      <c r="I1" s="1" t="inlineStr">
        <is>
          <t>Expected Result</t>
        </is>
      </c>
      <c r="J1" s="1" t="inlineStr">
        <is>
          <t>Actual Result</t>
        </is>
      </c>
      <c r="K1" s="1" t="inlineStr">
        <is>
          <t>Severity</t>
        </is>
      </c>
      <c r="L1" s="1" t="inlineStr">
        <is>
          <t>Priority</t>
        </is>
      </c>
      <c r="M1" s="1" t="inlineStr">
        <is>
          <t>Frequency</t>
        </is>
      </c>
      <c r="N1" s="1" t="inlineStr">
        <is>
          <t>Status</t>
        </is>
      </c>
      <c r="O1" s="1" t="inlineStr">
        <is>
          <t>Environment</t>
        </is>
      </c>
      <c r="P1" s="1" t="inlineStr">
        <is>
          <t>Attachment</t>
        </is>
      </c>
      <c r="Q1" s="1" t="inlineStr">
        <is>
          <t>Comments</t>
        </is>
      </c>
    </row>
    <row r="2" ht="68" customHeight="1">
      <c r="A2" s="2" t="inlineStr">
        <is>
          <t>BUG_001</t>
        </is>
      </c>
      <c r="B2" s="2" t="inlineStr">
        <is>
          <t>TC_026</t>
        </is>
      </c>
      <c r="C2" s="2" t="inlineStr">
        <is>
          <t>Functional</t>
        </is>
      </c>
      <c r="D2" s="3" t="inlineStr">
        <is>
          <t>Shopping Cart</t>
        </is>
      </c>
      <c r="E2" s="3" t="inlineStr">
        <is>
          <t>Product quantity cannot be increased past 2 in shopping cart</t>
        </is>
      </c>
      <c r="F2" s="3" t="inlineStr">
        <is>
          <t>When attempting to update a line item quantity to 3 or higher in the cart, the system resets the quantity to 2 upon clicking 'Update'.</t>
        </is>
      </c>
      <c r="G2" s="3" t="inlineStr">
        <is>
          <t>User has added one or more products to the shopping cart and is on the cart page.</t>
        </is>
      </c>
      <c r="H2" s="3" t="inlineStr">
        <is>
          <t>1. Open https://academybugs.com/find-bugs/
2. Add one or more products to the cart.
3. Click 'View Cart' link at top of page.
4. Change the product quantity input field from 1 to 3 or more.
5. Click the 'Update' button below line item.</t>
        </is>
      </c>
      <c r="I2" s="3" t="inlineStr">
        <is>
          <t>The product quantity can be increased past 2, and subtotal recalculates accurately.</t>
        </is>
      </c>
      <c r="J2" s="3" t="inlineStr">
        <is>
          <t>When clicking on the update button the product quantity automatically reverts back to 2.</t>
        </is>
      </c>
      <c r="K2" s="8" t="inlineStr">
        <is>
          <t>Major</t>
        </is>
      </c>
      <c r="L2" s="7" t="inlineStr">
        <is>
          <t>P1 – High</t>
        </is>
      </c>
      <c r="M2" s="2" t="inlineStr">
        <is>
          <t>Every Time</t>
        </is>
      </c>
      <c r="N2" s="2" t="inlineStr">
        <is>
          <t>Open</t>
        </is>
      </c>
      <c r="O2" s="2" t="inlineStr">
        <is>
          <t>Windows 11 (64-bit) | Chrome 126.0, Firefox 128.0, Edge 126.0</t>
        </is>
      </c>
      <c r="P2" s="11">
        <f>HYPERLINK("https://academybugs.com/wp-content/uploads/2020/10/1.png", "View Full Screenshot")</f>
        <v/>
      </c>
      <c r="Q2" s="3" t="inlineStr">
        <is>
          <t>Severe eCommerce impact: prevents bulk purchases and reduces order value.</t>
        </is>
      </c>
    </row>
    <row r="3" ht="68" customHeight="1">
      <c r="A3" s="5" t="inlineStr">
        <is>
          <t>BUG_002</t>
        </is>
      </c>
      <c r="B3" s="5" t="inlineStr">
        <is>
          <t>TC_027</t>
        </is>
      </c>
      <c r="C3" s="5" t="inlineStr">
        <is>
          <t>Functional</t>
        </is>
      </c>
      <c r="D3" s="6" t="inlineStr">
        <is>
          <t>Shopping Cart</t>
        </is>
      </c>
      <c r="E3" s="6" t="inlineStr">
        <is>
          <t>Grand total calculation incorporates an erroneous extra $100 charge</t>
        </is>
      </c>
      <c r="F3" s="6" t="inlineStr">
        <is>
          <t>The shopping cart grand total displays an amount that is exactly $100 greater than the mathematical sum of the cart line items and applicable shipping/tax.</t>
        </is>
      </c>
      <c r="G3" s="6" t="inlineStr">
        <is>
          <t>User has added products to the shopping cart.</t>
        </is>
      </c>
      <c r="H3" s="6" t="inlineStr">
        <is>
          <t>1. Open https://academybugs.com/find-bugs/
2. Add DNK Yellow Shoes ($120.00) to the cart.
3. Click 'View Cart' or navigate to cart checkout.
4. Calculate the expected sum ($120.00).
5. Compare with the displayed Grand Total.</t>
        </is>
      </c>
      <c r="I3" s="6" t="inlineStr">
        <is>
          <t>The grand total is strictly equal to the mathematical sum of all products in the cart.</t>
        </is>
      </c>
      <c r="J3" s="6" t="inlineStr">
        <is>
          <t>The grand total is $100 more than the sum of all products in the cart ($220.00 instead of $120.00).</t>
        </is>
      </c>
      <c r="K3" s="7" t="inlineStr">
        <is>
          <t>Critical</t>
        </is>
      </c>
      <c r="L3" s="7" t="inlineStr">
        <is>
          <t>P1 – High</t>
        </is>
      </c>
      <c r="M3" s="5" t="inlineStr">
        <is>
          <t>Every Time</t>
        </is>
      </c>
      <c r="N3" s="5" t="inlineStr">
        <is>
          <t>Open</t>
        </is>
      </c>
      <c r="O3" s="5" t="inlineStr">
        <is>
          <t>Windows 11 (64-bit) | Chrome 126.0, Firefox 128.0, Edge 126.0</t>
        </is>
      </c>
      <c r="P3" s="12">
        <f>HYPERLINK("https://academybugs.com/wp-content/uploads/2020/10/2-1.png", "View Full Screenshot")</f>
        <v/>
      </c>
      <c r="Q3" s="6" t="inlineStr">
        <is>
          <t>Critical calculation defect: causes immediate checkout abandonment and customer mistrust.</t>
        </is>
      </c>
    </row>
    <row r="4" ht="68" customHeight="1">
      <c r="A4" s="2" t="inlineStr">
        <is>
          <t>BUG_003</t>
        </is>
      </c>
      <c r="B4" s="2" t="inlineStr">
        <is>
          <t>TC_028</t>
        </is>
      </c>
      <c r="C4" s="2" t="inlineStr">
        <is>
          <t>Functional</t>
        </is>
      </c>
      <c r="D4" s="3" t="inlineStr">
        <is>
          <t>Product Details</t>
        </is>
      </c>
      <c r="E4" s="3" t="inlineStr">
        <is>
          <t>Manufacturer hyperlink in product details page leads to an HTTP error page</t>
        </is>
      </c>
      <c r="F4" s="3" t="inlineStr">
        <is>
          <t>Clicking on the manufacturer hyperlink located beneath the product quantity input opens a 404/broken link error page instead of manufacturer products.</t>
        </is>
      </c>
      <c r="G4" s="3" t="inlineStr">
        <is>
          <t>User is viewing a product details page.</t>
        </is>
      </c>
      <c r="H4" s="3" t="inlineStr">
        <is>
          <t>1. Open https://academybugs.com/find-bugs/
2. Open any product (e.g. DNK Yellow Shoes).
3. Locate the Manufacturer link under the quantity selector.
4. Click the Manufacturer link.</t>
        </is>
      </c>
      <c r="I4" s="3" t="inlineStr">
        <is>
          <t>The manufacturer link shows an appropriate manufacturer details or brand catalog page.</t>
        </is>
      </c>
      <c r="J4" s="3" t="inlineStr">
        <is>
          <t>The manufacturer link opens an error page (HTTP 404 / Page Not Found).</t>
        </is>
      </c>
      <c r="K4" s="8" t="inlineStr">
        <is>
          <t>Major</t>
        </is>
      </c>
      <c r="L4" s="8" t="inlineStr">
        <is>
          <t>P2 – Medium</t>
        </is>
      </c>
      <c r="M4" s="2" t="inlineStr">
        <is>
          <t>Every Time</t>
        </is>
      </c>
      <c r="N4" s="2" t="inlineStr">
        <is>
          <t>Open</t>
        </is>
      </c>
      <c r="O4" s="2" t="inlineStr">
        <is>
          <t>Windows 11 (64-bit) | Chrome 126.0, Firefox 128.0, Edge 126.0</t>
        </is>
      </c>
      <c r="P4" s="11">
        <f>HYPERLINK("https://academybugs.com/wp-content/uploads/2020/11/Fn3.png", "View Full Screenshot")</f>
        <v/>
      </c>
      <c r="Q4" s="3" t="inlineStr">
        <is>
          <t>Broken navigation anchor (#manufacturer-bug a) leads to poor user retention.</t>
        </is>
      </c>
    </row>
    <row r="5" ht="68" customHeight="1">
      <c r="A5" s="5" t="inlineStr">
        <is>
          <t>BUG_004</t>
        </is>
      </c>
      <c r="B5" s="5" t="inlineStr">
        <is>
          <t>TC_029</t>
        </is>
      </c>
      <c r="C5" s="5" t="inlineStr">
        <is>
          <t>Functional</t>
        </is>
      </c>
      <c r="D5" s="6" t="inlineStr">
        <is>
          <t>Catalog Discovery</t>
        </is>
      </c>
      <c r="E5" s="6" t="inlineStr">
        <is>
          <t>'Filter by Price' widget reloads the page without filtering products</t>
        </is>
      </c>
      <c r="F5" s="6" t="inlineStr">
        <is>
          <t>Selecting any price range in the 'Filter by Price' sidebar menu on product list or detail pages fails to filter the items and simply refreshes the current page.</t>
        </is>
      </c>
      <c r="G5" s="6" t="inlineStr">
        <is>
          <t>User is on the catalog or product detail page with price filter widget visible.</t>
        </is>
      </c>
      <c r="H5" s="6" t="inlineStr">
        <is>
          <t>1. Open https://academybugs.com/find-bugs/
2. Locate 'Filter by Price' in the right sidebar menu.
3. Select any price bracket (e.g. $25.00 - $50.00).
4. Also test price bracket on single item page.</t>
        </is>
      </c>
      <c r="I5" s="6" t="inlineStr">
        <is>
          <t>A filtered list of products within the selected price range is displayed.</t>
        </is>
      </c>
      <c r="J5" s="6" t="inlineStr">
        <is>
          <t>The same unfiltered page reloads without modifying product display or URL parameters.</t>
        </is>
      </c>
      <c r="K5" s="8" t="inlineStr">
        <is>
          <t>Major</t>
        </is>
      </c>
      <c r="L5" s="8" t="inlineStr">
        <is>
          <t>P2 – Medium</t>
        </is>
      </c>
      <c r="M5" s="5" t="inlineStr">
        <is>
          <t>Every Time</t>
        </is>
      </c>
      <c r="N5" s="5" t="inlineStr">
        <is>
          <t>Open</t>
        </is>
      </c>
      <c r="O5" s="5" t="inlineStr">
        <is>
          <t>Windows 11 (64-bit) | Chrome 126.0, Firefox 128.0, Edge 126.0</t>
        </is>
      </c>
      <c r="P5" s="12">
        <f>HYPERLINK("https://academybugs.com/wp-content/uploads/2020/10/F4.png", "View Full Screenshot")</f>
        <v/>
      </c>
      <c r="Q5" s="6" t="inlineStr">
        <is>
          <t>Core catalog discovery defect: impairs product browsing by price point.</t>
        </is>
      </c>
    </row>
    <row r="6" ht="68" customHeight="1">
      <c r="A6" s="2" t="inlineStr">
        <is>
          <t>BUG_005</t>
        </is>
      </c>
      <c r="B6" s="2" t="inlineStr">
        <is>
          <t>TC_030</t>
        </is>
      </c>
      <c r="C6" s="2" t="inlineStr">
        <is>
          <t>Functional</t>
        </is>
      </c>
      <c r="D6" s="3" t="inlineStr">
        <is>
          <t>Product Details</t>
        </is>
      </c>
      <c r="E6" s="3" t="inlineStr">
        <is>
          <t>Twitter share button URL is malformed and opens an error page</t>
        </is>
      </c>
      <c r="F6" s="3" t="inlineStr">
        <is>
          <t>Clicking the Twitter share icon on a product page points to a misspelled domain ('twitter.cointent/tweet') leading to a DNS failure/error page.</t>
        </is>
      </c>
      <c r="G6" s="3" t="inlineStr">
        <is>
          <t>User is on a product details page with social share buttons visible.</t>
        </is>
      </c>
      <c r="H6" s="3" t="inlineStr">
        <is>
          <t>1. Open https://academybugs.com/find-bugs/
2. Open any product.
3. Scroll down to social share links below product description.
4. Click the Twitter share button.</t>
        </is>
      </c>
      <c r="I6" s="3" t="inlineStr">
        <is>
          <t>The Twitter share button opens a valid sharing window to tweet product info.</t>
        </is>
      </c>
      <c r="J6" s="3" t="inlineStr">
        <is>
          <t>The Twitter share button opens an error page due to malformed domain 'twitter.cointent'.</t>
        </is>
      </c>
      <c r="K6" s="10" t="inlineStr">
        <is>
          <t>Minor</t>
        </is>
      </c>
      <c r="L6" s="10" t="inlineStr">
        <is>
          <t>P3 – Low</t>
        </is>
      </c>
      <c r="M6" s="2" t="inlineStr">
        <is>
          <t>Every Time</t>
        </is>
      </c>
      <c r="N6" s="2" t="inlineStr">
        <is>
          <t>Open</t>
        </is>
      </c>
      <c r="O6" s="2" t="inlineStr">
        <is>
          <t>Windows 11 (64-bit) | Chrome 126.0, Firefox 128.0, Edge 126.0</t>
        </is>
      </c>
      <c r="P6" s="11">
        <f>HYPERLINK("https://academybugs.com/wp-content/uploads/2020/10/5.png", "View Full Screenshot")</f>
        <v/>
      </c>
      <c r="Q6" s="3" t="inlineStr">
        <is>
          <t>Typo in social integration URL breaks social marketing referral loop.</t>
        </is>
      </c>
    </row>
    <row r="7" ht="68" customHeight="1">
      <c r="A7" s="5" t="inlineStr">
        <is>
          <t>BUG_006</t>
        </is>
      </c>
      <c r="B7" s="5" t="inlineStr">
        <is>
          <t>TC_031</t>
        </is>
      </c>
      <c r="C7" s="5" t="inlineStr">
        <is>
          <t>Visual</t>
        </is>
      </c>
      <c r="D7" s="6" t="inlineStr">
        <is>
          <t>Product Catalog</t>
        </is>
      </c>
      <c r="E7" s="6" t="inlineStr">
        <is>
          <t>Product image container exhibits unrendered whitespace and incomplete display</t>
        </is>
      </c>
      <c r="F7" s="6" t="inlineStr">
        <is>
          <t>Certain product cards in the store catalog grid do not scale images correctly to fill the frame, creating irregular blank margins.</t>
        </is>
      </c>
      <c r="G7" s="6" t="inlineStr">
        <is>
          <t>User is viewing the store catalog grid.</t>
        </is>
      </c>
      <c r="H7" s="6" t="inlineStr">
        <is>
          <t>1. Open https://academybugs.com/find-bugs/
2. Inspect the product cards in the store listing grid.
3. Observe image boundaries and container aspect ratio fit.</t>
        </is>
      </c>
      <c r="I7" s="6" t="inlineStr">
        <is>
          <t>The product image fills the box entirely with clean, proportional scaling.</t>
        </is>
      </c>
      <c r="J7" s="6" t="inlineStr">
        <is>
          <t>The image has an unrendered white space on the right side, showing incomplete display.</t>
        </is>
      </c>
      <c r="K7" s="10" t="inlineStr">
        <is>
          <t>Minor</t>
        </is>
      </c>
      <c r="L7" s="10" t="inlineStr">
        <is>
          <t>P3 – Low</t>
        </is>
      </c>
      <c r="M7" s="5" t="inlineStr">
        <is>
          <t>Every Time</t>
        </is>
      </c>
      <c r="N7" s="5" t="inlineStr">
        <is>
          <t>Open</t>
        </is>
      </c>
      <c r="O7" s="5" t="inlineStr">
        <is>
          <t>Windows 11 (64-bit) | Chrome 126.0, Firefox 128.0, Edge 126.0</t>
        </is>
      </c>
      <c r="P7" s="12">
        <f>HYPERLINK("https://academybugs.com/wp-content/uploads/2020/10/6.png", "View Full Screenshot")</f>
        <v/>
      </c>
      <c r="Q7" s="6" t="inlineStr">
        <is>
          <t>CSS flex/grid container sizing flaw affects catalog visual polish.</t>
        </is>
      </c>
    </row>
    <row r="8" ht="68" customHeight="1">
      <c r="A8" s="2" t="inlineStr">
        <is>
          <t>BUG_007</t>
        </is>
      </c>
      <c r="B8" s="2" t="inlineStr">
        <is>
          <t>TC_032</t>
        </is>
      </c>
      <c r="C8" s="2" t="inlineStr">
        <is>
          <t>Visual</t>
        </is>
      </c>
      <c r="D8" s="3" t="inlineStr">
        <is>
          <t>User Authentication</t>
        </is>
      </c>
      <c r="E8" s="3" t="inlineStr">
        <is>
          <t>'Sign In' button label text is misaligned vertically</t>
        </is>
      </c>
      <c r="F8" s="3" t="inlineStr">
        <is>
          <t>The text caption inside the 'Sign In' button on the authentication form is improperly aligned near the bottom edge rather than centered.</t>
        </is>
      </c>
      <c r="G8" s="3" t="inlineStr">
        <is>
          <t>User is on the account sign-in interface.</t>
        </is>
      </c>
      <c r="H8" s="3" t="inlineStr">
        <is>
          <t>1. Open https://academybugs.com/find-bugs/
2. Open a product, scroll to sidebar 'Your Account' section.
3. Click 'Sign In' to open sign-in view.
4. Inspect the text alignment inside 'Sign In' button.</t>
        </is>
      </c>
      <c r="I8" s="3" t="inlineStr">
        <is>
          <t>The caption of the 'Sign In' button is centered vertically within the button frame.</t>
        </is>
      </c>
      <c r="J8" s="3" t="inlineStr">
        <is>
          <t>The caption of the 'Sign In' button is misaligned vertically towards the bottom border.</t>
        </is>
      </c>
      <c r="K8" s="10" t="inlineStr">
        <is>
          <t>Minor</t>
        </is>
      </c>
      <c r="L8" s="10" t="inlineStr">
        <is>
          <t>P3 – Low</t>
        </is>
      </c>
      <c r="M8" s="2" t="inlineStr">
        <is>
          <t>Every Time</t>
        </is>
      </c>
      <c r="N8" s="2" t="inlineStr">
        <is>
          <t>Open</t>
        </is>
      </c>
      <c r="O8" s="2" t="inlineStr">
        <is>
          <t>Windows 11 (64-bit) | Chrome 126.0, Firefox 128.0, Edge 126.0</t>
        </is>
      </c>
      <c r="P8" s="11">
        <f>HYPERLINK("https://academybugs.com/wp-content/uploads/2020/10/7.png", "View Full Screenshot")</f>
        <v/>
      </c>
      <c r="Q8" s="3" t="inlineStr">
        <is>
          <t>CSS line-height or vertical padding misalignment.</t>
        </is>
      </c>
    </row>
    <row r="9" ht="68" customHeight="1">
      <c r="A9" s="5" t="inlineStr">
        <is>
          <t>BUG_008</t>
        </is>
      </c>
      <c r="B9" s="5" t="inlineStr">
        <is>
          <t>TC_033</t>
        </is>
      </c>
      <c r="C9" s="5" t="inlineStr">
        <is>
          <t>Visual</t>
        </is>
      </c>
      <c r="D9" s="6" t="inlineStr">
        <is>
          <t>Product Catalog</t>
        </is>
      </c>
      <c r="E9" s="6" t="inlineStr">
        <is>
          <t>Excessive unnecessary vertical spacing rendered underneath product thumbnails</t>
        </is>
      </c>
      <c r="F9" s="6" t="inlineStr">
        <is>
          <t>The product catalog grid items display anomalous empty space below thumbnail images before the product title.</t>
        </is>
      </c>
      <c r="G9" s="6" t="inlineStr">
        <is>
          <t>User is browsing the catalog product grid.</t>
        </is>
      </c>
      <c r="H9" s="6" t="inlineStr">
        <is>
          <t>1. Open https://academybugs.com/find-bugs/
2. Inspect thumbnail image containers across rows.
3. Observe vertical margins underneath images.</t>
        </is>
      </c>
      <c r="I9" s="6" t="inlineStr">
        <is>
          <t>Item images have standard, uniform spacing underneath without gaping white space.</t>
        </is>
      </c>
      <c r="J9" s="6" t="inlineStr">
        <is>
          <t>Item images have excessive and unnecessary whitespace underneath.</t>
        </is>
      </c>
      <c r="K9" s="10" t="inlineStr">
        <is>
          <t>Minor</t>
        </is>
      </c>
      <c r="L9" s="10" t="inlineStr">
        <is>
          <t>P3 – Low</t>
        </is>
      </c>
      <c r="M9" s="5" t="inlineStr">
        <is>
          <t>Every Time</t>
        </is>
      </c>
      <c r="N9" s="5" t="inlineStr">
        <is>
          <t>Open</t>
        </is>
      </c>
      <c r="O9" s="5" t="inlineStr">
        <is>
          <t>Windows 11 (64-bit) | Chrome 126.0, Firefox 128.0, Edge 126.0</t>
        </is>
      </c>
      <c r="P9" s="12">
        <f>HYPERLINK("https://academybugs.com/wp-content/uploads/2020/10/8.png", "View Full Screenshot")</f>
        <v/>
      </c>
      <c r="Q9" s="6" t="inlineStr">
        <is>
          <t>Creates uneven row heights in the eCommerce listing grid.</t>
        </is>
      </c>
    </row>
    <row r="10" ht="68" customHeight="1">
      <c r="A10" s="2" t="inlineStr">
        <is>
          <t>BUG_009</t>
        </is>
      </c>
      <c r="B10" s="2" t="inlineStr">
        <is>
          <t>TC_034</t>
        </is>
      </c>
      <c r="C10" s="2" t="inlineStr">
        <is>
          <t>Visual</t>
        </is>
      </c>
      <c r="D10" s="3" t="inlineStr">
        <is>
          <t>Navigation &amp; Layout</t>
        </is>
      </c>
      <c r="E10" s="3" t="inlineStr">
        <is>
          <t>Sidebar 'Sign In' button overlaps the website footer boundary</t>
        </is>
      </c>
      <c r="F10" s="3" t="inlineStr">
        <is>
          <t>On long sidebar layouts, the 'Sign In' button overflows its container and renders directly over footer text and widgets.</t>
        </is>
      </c>
      <c r="G10" s="3" t="inlineStr">
        <is>
          <t>User is viewing a product details page with sidebar.</t>
        </is>
      </c>
      <c r="H10" s="3" t="inlineStr">
        <is>
          <t>1. Open https://academybugs.com/find-bugs/
2. Open any product.
3. Scroll down to bottom of right sidebar menu.
4. Observe position of Sign In button relative to footer.</t>
        </is>
      </c>
      <c r="I10" s="3" t="inlineStr">
        <is>
          <t>The Sign In button is contained neatly within the sidebar container above the footer.</t>
        </is>
      </c>
      <c r="J10" s="3" t="inlineStr">
        <is>
          <t>The Sign In button visually overlaps and bleeds into the footer.</t>
        </is>
      </c>
      <c r="K10" s="10" t="inlineStr">
        <is>
          <t>Minor</t>
        </is>
      </c>
      <c r="L10" s="10" t="inlineStr">
        <is>
          <t>P3 – Low</t>
        </is>
      </c>
      <c r="M10" s="2" t="inlineStr">
        <is>
          <t>Every Time</t>
        </is>
      </c>
      <c r="N10" s="2" t="inlineStr">
        <is>
          <t>Open</t>
        </is>
      </c>
      <c r="O10" s="2" t="inlineStr">
        <is>
          <t>Windows 11 (64-bit) | Chrome 126.0, Firefox 128.0, Edge 126.0</t>
        </is>
      </c>
      <c r="P10" s="11">
        <f>HYPERLINK("https://academybugs.com/wp-content/uploads/2020/10/F9.png", "View Full Screenshot")</f>
        <v/>
      </c>
      <c r="Q10" s="3" t="inlineStr">
        <is>
          <t>Clear CSS z-index / absolute positioning collision.</t>
        </is>
      </c>
    </row>
    <row r="11" ht="68" customHeight="1">
      <c r="A11" s="5" t="inlineStr">
        <is>
          <t>BUG_010</t>
        </is>
      </c>
      <c r="B11" s="5" t="inlineStr">
        <is>
          <t>TC_035</t>
        </is>
      </c>
      <c r="C11" s="5" t="inlineStr">
        <is>
          <t>Visual</t>
        </is>
      </c>
      <c r="D11" s="6" t="inlineStr">
        <is>
          <t>User Authentication</t>
        </is>
      </c>
      <c r="E11" s="6" t="inlineStr">
        <is>
          <t>Password field label is horizontally misaligned compared to Email field</t>
        </is>
      </c>
      <c r="F11" s="6" t="inlineStr">
        <is>
          <t>In the sign-in form, the label 'Password' has inconsistent left indent compared to 'Email Address'.</t>
        </is>
      </c>
      <c r="G11" s="6" t="inlineStr">
        <is>
          <t>User is on the Account Sign In form.</t>
        </is>
      </c>
      <c r="H11" s="6" t="inlineStr">
        <is>
          <t>1. Open https://academybugs.com/find-bugs/
2. Navigate to Sign In form in sidebar or account page.
3. Inspect the field labels for 'Email' and 'Password'.</t>
        </is>
      </c>
      <c r="I11" s="6" t="inlineStr">
        <is>
          <t>The title/label of the password field is aligned identically to the field above it.</t>
        </is>
      </c>
      <c r="J11" s="6" t="inlineStr">
        <is>
          <t>The title of the password field is misaligned horizontally with the email label.</t>
        </is>
      </c>
      <c r="K11" s="10" t="inlineStr">
        <is>
          <t>Minor</t>
        </is>
      </c>
      <c r="L11" s="10" t="inlineStr">
        <is>
          <t>P3 – Low</t>
        </is>
      </c>
      <c r="M11" s="5" t="inlineStr">
        <is>
          <t>Every Time</t>
        </is>
      </c>
      <c r="N11" s="5" t="inlineStr">
        <is>
          <t>Open</t>
        </is>
      </c>
      <c r="O11" s="5" t="inlineStr">
        <is>
          <t>Windows 11 (64-bit) | Chrome 126.0, Firefox 128.0, Edge 126.0</t>
        </is>
      </c>
      <c r="P11" s="12">
        <f>HYPERLINK("https://academybugs.com/wp-content/uploads/2020/10/10.png", "View Full Screenshot")</f>
        <v/>
      </c>
      <c r="Q11" s="6" t="inlineStr">
        <is>
          <t>Visual defect creating an untrustworthy, unpolished authentication form.</t>
        </is>
      </c>
    </row>
    <row r="12" ht="68" customHeight="1">
      <c r="A12" s="2" t="inlineStr">
        <is>
          <t>BUG_011</t>
        </is>
      </c>
      <c r="B12" s="2" t="inlineStr">
        <is>
          <t>TC_036</t>
        </is>
      </c>
      <c r="C12" s="2" t="inlineStr">
        <is>
          <t>Content</t>
        </is>
      </c>
      <c r="D12" s="3" t="inlineStr">
        <is>
          <t>User Registration</t>
        </is>
      </c>
      <c r="E12" s="3" t="inlineStr">
        <is>
          <t>Untranslated placeholder Latin text displayed under 'New User' section</t>
        </is>
      </c>
      <c r="F12" s="3" t="inlineStr">
        <is>
          <t>The introductory text under the 'New User' / Sign Up heading displays Lorem Ipsum / non-English dummy text.</t>
        </is>
      </c>
      <c r="G12" s="3" t="inlineStr">
        <is>
          <t>User is on the Account Registration page.</t>
        </is>
      </c>
      <c r="H12" s="3" t="inlineStr">
        <is>
          <t>1. Open https://academybugs.com/find-bugs/
2. Open a product, scroll to sidebar 'Your Account' section.
3. Click 'Sign In' / 'Sign Up'.
4. Inspect text under the 'New User' section.</t>
        </is>
      </c>
      <c r="I12" s="3" t="inlineStr">
        <is>
          <t>The text under the New User section is written in clear, user-friendly English.</t>
        </is>
      </c>
      <c r="J12" s="3" t="inlineStr">
        <is>
          <t>The text under the New User section is in another language (Latin placeholder copy).</t>
        </is>
      </c>
      <c r="K12" s="10" t="inlineStr">
        <is>
          <t>Minor</t>
        </is>
      </c>
      <c r="L12" s="10" t="inlineStr">
        <is>
          <t>P3 – Low</t>
        </is>
      </c>
      <c r="M12" s="2" t="inlineStr">
        <is>
          <t>Every Time</t>
        </is>
      </c>
      <c r="N12" s="2" t="inlineStr">
        <is>
          <t>Open</t>
        </is>
      </c>
      <c r="O12" s="2" t="inlineStr">
        <is>
          <t>Windows 11 (64-bit) | Chrome 126.0, Firefox 128.0, Edge 126.0</t>
        </is>
      </c>
      <c r="P12" s="11">
        <f>HYPERLINK("https://academybugs.com/wp-content/uploads/2020/10/11.png", "View Full Screenshot")</f>
        <v/>
      </c>
      <c r="Q12" s="3" t="inlineStr">
        <is>
          <t>Content copy oversight: developer placeholder text leaked into production UI.</t>
        </is>
      </c>
    </row>
    <row r="13" ht="68" customHeight="1">
      <c r="A13" s="5" t="inlineStr">
        <is>
          <t>BUG_012</t>
        </is>
      </c>
      <c r="B13" s="5" t="inlineStr">
        <is>
          <t>TC_037</t>
        </is>
      </c>
      <c r="C13" s="5" t="inlineStr">
        <is>
          <t>Content</t>
        </is>
      </c>
      <c r="D13" s="6" t="inlineStr">
        <is>
          <t>Shopping Cart</t>
        </is>
      </c>
      <c r="E13" s="6" t="inlineStr">
        <is>
          <t>Corrupted characters and unreadable symbols displayed in Cart hover preview</t>
        </is>
      </c>
      <c r="F13" s="6" t="inlineStr">
        <is>
          <t>Hovering over the Shopping Cart widget in the sidebar displays garbled encoding symbols in the tooltip/popup.</t>
        </is>
      </c>
      <c r="G13" s="6" t="inlineStr">
        <is>
          <t>User has items in the shopping cart.</t>
        </is>
      </c>
      <c r="H13" s="6" t="inlineStr">
        <is>
          <t>1. Open https://academybugs.com/find-bugs/
2. Add one or more products to the cart.
3. Click 'View Cart' on top of page.
4. Scroll down to Shopping Cart section of right sidebar menu.
5. Hover over the Shopping Cart caption.</t>
        </is>
      </c>
      <c r="I13" s="6" t="inlineStr">
        <is>
          <t>All characters in the shopping cart popup are clear and legible to regular users.</t>
        </is>
      </c>
      <c r="J13" s="6" t="inlineStr">
        <is>
          <t>There are unreadable, garbled encoding symbols rendered in the shopping cart popup.</t>
        </is>
      </c>
      <c r="K13" s="10" t="inlineStr">
        <is>
          <t>Minor</t>
        </is>
      </c>
      <c r="L13" s="10" t="inlineStr">
        <is>
          <t>P3 – Low</t>
        </is>
      </c>
      <c r="M13" s="5" t="inlineStr">
        <is>
          <t>Every Time</t>
        </is>
      </c>
      <c r="N13" s="5" t="inlineStr">
        <is>
          <t>Open</t>
        </is>
      </c>
      <c r="O13" s="5" t="inlineStr">
        <is>
          <t>Windows 11 (64-bit) | Chrome 126.0, Firefox 128.0, Edge 126.0</t>
        </is>
      </c>
      <c r="P13" s="12">
        <f>HYPERLINK("https://academybugs.com/wp-content/uploads/2020/10/Find-12.png", "View Full Screenshot")</f>
        <v/>
      </c>
      <c r="Q13" s="6" t="inlineStr">
        <is>
          <t>Character encoding / UTF-8 entity parsing bug in tooltip string builder.</t>
        </is>
      </c>
    </row>
    <row r="14" ht="68" customHeight="1">
      <c r="A14" s="2" t="inlineStr">
        <is>
          <t>BUG_013</t>
        </is>
      </c>
      <c r="B14" s="2" t="inlineStr">
        <is>
          <t>TC_038</t>
        </is>
      </c>
      <c r="C14" s="2" t="inlineStr">
        <is>
          <t>Content</t>
        </is>
      </c>
      <c r="D14" s="3" t="inlineStr">
        <is>
          <t>Product Details</t>
        </is>
      </c>
      <c r="E14" s="3" t="inlineStr">
        <is>
          <t>Product short description and full description contain Latin dummy copy</t>
        </is>
      </c>
      <c r="F14" s="3" t="inlineStr">
        <is>
          <t>Several products (e.g. DNK Yellow Shoes) display Lorem Ipsum text in both short and main description tabs instead of real English product details.</t>
        </is>
      </c>
      <c r="G14" s="3" t="inlineStr">
        <is>
          <t>User is on a product details page.</t>
        </is>
      </c>
      <c r="H14" s="3" t="inlineStr">
        <is>
          <t>1. Open https://academybugs.com/find-bugs/
2. Click on 'DNK Yellow Shoes' or similar item.
3. Inspect the short description next to price.
4. Inspect the detailed description tab.</t>
        </is>
      </c>
      <c r="I14" s="3" t="inlineStr">
        <is>
          <t>The short description and full description of the product are written in fluent English.</t>
        </is>
      </c>
      <c r="J14" s="3" t="inlineStr">
        <is>
          <t>The short description and description of the product are not in English (Lorem Ipsum filler).</t>
        </is>
      </c>
      <c r="K14" s="10" t="inlineStr">
        <is>
          <t>Minor</t>
        </is>
      </c>
      <c r="L14" s="8" t="inlineStr">
        <is>
          <t>P2 – Medium</t>
        </is>
      </c>
      <c r="M14" s="2" t="inlineStr">
        <is>
          <t>Every Time</t>
        </is>
      </c>
      <c r="N14" s="2" t="inlineStr">
        <is>
          <t>Open</t>
        </is>
      </c>
      <c r="O14" s="2" t="inlineStr">
        <is>
          <t>Windows 11 (64-bit) | Chrome 126.0, Firefox 128.0, Edge 126.0</t>
        </is>
      </c>
      <c r="P14" s="11">
        <f>HYPERLINK("https://academybugs.com/wp-content/uploads/2020/10/Find-13.png", "View Full Screenshot")</f>
        <v/>
      </c>
      <c r="Q14" s="3" t="inlineStr">
        <is>
          <t>Incomplete catalog editorial content reduces customer conversion confidence.</t>
        </is>
      </c>
    </row>
    <row r="15" ht="68" customHeight="1">
      <c r="A15" s="5" t="inlineStr">
        <is>
          <t>BUG_014</t>
        </is>
      </c>
      <c r="B15" s="5" t="inlineStr">
        <is>
          <t>TC_039</t>
        </is>
      </c>
      <c r="C15" s="5" t="inlineStr">
        <is>
          <t>Content</t>
        </is>
      </c>
      <c r="D15" s="6" t="inlineStr">
        <is>
          <t>Product Details</t>
        </is>
      </c>
      <c r="E15" s="6" t="inlineStr">
        <is>
          <t>Color variant options contain spelling errors ('Yelow' and 'Orang')</t>
        </is>
      </c>
      <c r="F15" s="6" t="inlineStr">
        <is>
          <t>In products with color options, the dropdown/swatch labels for Yellow and Orange are misspelled as 'Yelow' and 'Orang'.</t>
        </is>
      </c>
      <c r="G15" s="6" t="inlineStr">
        <is>
          <t>User is viewing a product with color variations.</t>
        </is>
      </c>
      <c r="H15" s="6" t="inlineStr">
        <is>
          <t>1. Open https://academybugs.com/find-bugs/
2. Open a product with color options (e.g. Flamingo Tshirt / Blue Hoodie).
3. Inspect color option dropdown / swatches.
4. Choose Yellow and Orange options.</t>
        </is>
      </c>
      <c r="I15" s="6" t="inlineStr">
        <is>
          <t>The yellow and orange colors are spelled correctly ('Yellow', 'Orange').</t>
        </is>
      </c>
      <c r="J15" s="6" t="inlineStr">
        <is>
          <t>Yellow is misspelled as 'Yelow' and Orange is misspelled as 'Orang'.</t>
        </is>
      </c>
      <c r="K15" s="10" t="inlineStr">
        <is>
          <t>Minor</t>
        </is>
      </c>
      <c r="L15" s="10" t="inlineStr">
        <is>
          <t>P3 – Low</t>
        </is>
      </c>
      <c r="M15" s="5" t="inlineStr">
        <is>
          <t>Every Time</t>
        </is>
      </c>
      <c r="N15" s="5" t="inlineStr">
        <is>
          <t>Open</t>
        </is>
      </c>
      <c r="O15" s="5" t="inlineStr">
        <is>
          <t>Windows 11 (64-bit) | Chrome 126.0, Firefox 128.0, Edge 126.0</t>
        </is>
      </c>
      <c r="P15" s="12">
        <f>HYPERLINK("https://academybugs.com/wp-content/uploads/2020/10/14.png", "View Full Screenshot")</f>
        <v/>
      </c>
      <c r="Q15" s="6" t="inlineStr">
        <is>
          <t>Embarrassing UI typo affecting product attributes.</t>
        </is>
      </c>
    </row>
    <row r="16" ht="68" customHeight="1">
      <c r="A16" s="2" t="inlineStr">
        <is>
          <t>BUG_015</t>
        </is>
      </c>
      <c r="B16" s="2" t="inlineStr">
        <is>
          <t>TC_040</t>
        </is>
      </c>
      <c r="C16" s="2" t="inlineStr">
        <is>
          <t>Content</t>
        </is>
      </c>
      <c r="D16" s="3" t="inlineStr">
        <is>
          <t>Shopping Cart</t>
        </is>
      </c>
      <c r="E16" s="3" t="inlineStr">
        <is>
          <t>Erroneous spacing before the final letter in 'Return to Store' button label</t>
        </is>
      </c>
      <c r="F16" s="3" t="inlineStr">
        <is>
          <t>When the cart is empty, the action button displays 'Return to Stor e' with an extra space before the 'e'.</t>
        </is>
      </c>
      <c r="G16" s="3" t="inlineStr">
        <is>
          <t>User is viewing an empty shopping cart.</t>
        </is>
      </c>
      <c r="H16" s="3" t="inlineStr">
        <is>
          <t>1. Open https://academybugs.com/find-bugs/
2. Open a product.
3. Open cart at bottom of right sidebar menu.
4. Clear cart if there are any items.
5. Inspect the 'Return to Store' button label.</t>
        </is>
      </c>
      <c r="I16" s="3" t="inlineStr">
        <is>
          <t>The caption of the 'Return to Store' button is formatted with standard, even spacing.</t>
        </is>
      </c>
      <c r="J16" s="3" t="inlineStr">
        <is>
          <t>There is an awkward gap before the last letter in 'Return to Store' ('Return to Stor e').</t>
        </is>
      </c>
      <c r="K16" s="10" t="inlineStr">
        <is>
          <t>Minor</t>
        </is>
      </c>
      <c r="L16" s="10" t="inlineStr">
        <is>
          <t>P3 – Low</t>
        </is>
      </c>
      <c r="M16" s="2" t="inlineStr">
        <is>
          <t>Every Time</t>
        </is>
      </c>
      <c r="N16" s="2" t="inlineStr">
        <is>
          <t>Open</t>
        </is>
      </c>
      <c r="O16" s="2" t="inlineStr">
        <is>
          <t>Windows 11 (64-bit) | Chrome 126.0, Firefox 128.0, Edge 126.0</t>
        </is>
      </c>
      <c r="P16" s="11">
        <f>HYPERLINK("https://academybugs.com/wp-content/uploads/2020/10/15.png", "View Full Screenshot")</f>
        <v/>
      </c>
      <c r="Q16" s="3" t="inlineStr">
        <is>
          <t>String typographical error in empty-cart template view.</t>
        </is>
      </c>
    </row>
    <row r="17" ht="68" customHeight="1">
      <c r="A17" s="5" t="inlineStr">
        <is>
          <t>BUG_016</t>
        </is>
      </c>
      <c r="B17" s="5" t="inlineStr">
        <is>
          <t>TC_041</t>
        </is>
      </c>
      <c r="C17" s="5" t="inlineStr">
        <is>
          <t>Performance</t>
        </is>
      </c>
      <c r="D17" s="6" t="inlineStr">
        <is>
          <t>Account Management</t>
        </is>
      </c>
      <c r="E17" s="6" t="inlineStr">
        <is>
          <t>Updating billing information triggers infinite loading state without saving</t>
        </is>
      </c>
      <c r="F17" s="6" t="inlineStr">
        <is>
          <t>Submitting modifications to user billing details causes an endless spinner; the save request never resolves.</t>
        </is>
      </c>
      <c r="G17" s="6" t="inlineStr">
        <is>
          <t>User is authenticated and on Billing Information form.</t>
        </is>
      </c>
      <c r="H17" s="6" t="inlineStr">
        <is>
          <t>1. Open https://academybugs.com/find-bugs/
2. Open product &gt; click 'Sign Up' in sidebar.
3. Log in with credentials.
4. At top of right sidebar, select 'Billing Information'.
5. Fill out billing form and click 'Update'.</t>
        </is>
      </c>
      <c r="I17" s="6" t="inlineStr">
        <is>
          <t>Billing information is updated within 1-2 seconds with confirmation notification.</t>
        </is>
      </c>
      <c r="J17" s="6" t="inlineStr">
        <is>
          <t>Billing information loads infinitely after clicking 'Update'; page never completes request.</t>
        </is>
      </c>
      <c r="K17" s="8" t="inlineStr">
        <is>
          <t>Major</t>
        </is>
      </c>
      <c r="L17" s="7" t="inlineStr">
        <is>
          <t>P1 – High</t>
        </is>
      </c>
      <c r="M17" s="5" t="inlineStr">
        <is>
          <t>Every Time</t>
        </is>
      </c>
      <c r="N17" s="5" t="inlineStr">
        <is>
          <t>Open</t>
        </is>
      </c>
      <c r="O17" s="5" t="inlineStr">
        <is>
          <t>Windows 11 (64-bit) | Chrome 126.0, Firefox 128.0, Edge 126.0</t>
        </is>
      </c>
      <c r="P17" s="12">
        <f>HYPERLINK("https://academybugs.com/wp-content/uploads/2020/10/Find-16.png", "View Full Screenshot")</f>
        <v/>
      </c>
      <c r="Q17" s="6" t="inlineStr">
        <is>
          <t>High performance severity: blocks customer address management entirely.</t>
        </is>
      </c>
    </row>
    <row r="18" ht="68" customHeight="1">
      <c r="A18" s="2" t="inlineStr">
        <is>
          <t>BUG_017</t>
        </is>
      </c>
      <c r="B18" s="2" t="inlineStr">
        <is>
          <t>TC_042</t>
        </is>
      </c>
      <c r="C18" s="2" t="inlineStr">
        <is>
          <t>Performance</t>
        </is>
      </c>
      <c r="D18" s="3" t="inlineStr">
        <is>
          <t>Customer Account</t>
        </is>
      </c>
      <c r="E18" s="3" t="inlineStr">
        <is>
          <t>'Order History' page hangs in an infinite loading spinner</t>
        </is>
      </c>
      <c r="F18" s="3" t="inlineStr">
        <is>
          <t>Navigating to the Order History section in the user account portal fails to load order records and spins endlessly.</t>
        </is>
      </c>
      <c r="G18" s="3" t="inlineStr">
        <is>
          <t>User is logged into account on AcademyBugs.</t>
        </is>
      </c>
      <c r="H18" s="3" t="inlineStr">
        <is>
          <t>1. Open https://academybugs.com/find-bugs/
2. Open a product.
3. Sign in at bottom of right sidebar menu.
4. In sidebar menu, select 'Order History'.</t>
        </is>
      </c>
      <c r="I18" s="3" t="inlineStr">
        <is>
          <t>Order History section loads appropriate invoices or empty history within 2 seconds.</t>
        </is>
      </c>
      <c r="J18" s="3" t="inlineStr">
        <is>
          <t>Order History section loads infinitely; content is never delivered.</t>
        </is>
      </c>
      <c r="K18" s="8" t="inlineStr">
        <is>
          <t>Major</t>
        </is>
      </c>
      <c r="L18" s="7" t="inlineStr">
        <is>
          <t>P1 – High</t>
        </is>
      </c>
      <c r="M18" s="2" t="inlineStr">
        <is>
          <t>Every Time</t>
        </is>
      </c>
      <c r="N18" s="2" t="inlineStr">
        <is>
          <t>Open</t>
        </is>
      </c>
      <c r="O18" s="2" t="inlineStr">
        <is>
          <t>Windows 11 (64-bit) | Chrome 126.0, Firefox 128.0, Edge 126.0</t>
        </is>
      </c>
      <c r="P18" s="11">
        <f>HYPERLINK("https://academybugs.com/wp-content/uploads/2020/10/17.png", "View Full Screenshot")</f>
        <v/>
      </c>
      <c r="Q18" s="3" t="inlineStr">
        <is>
          <t>Severe post-purchase defect: customers cannot access invoices or track orders.</t>
        </is>
      </c>
    </row>
    <row r="19" ht="68" customHeight="1">
      <c r="A19" s="5" t="inlineStr">
        <is>
          <t>BUG_018</t>
        </is>
      </c>
      <c r="B19" s="5" t="inlineStr">
        <is>
          <t>TC_043</t>
        </is>
      </c>
      <c r="C19" s="5" t="inlineStr">
        <is>
          <t>Performance</t>
        </is>
      </c>
      <c r="D19" s="6" t="inlineStr">
        <is>
          <t>Customer Account</t>
        </is>
      </c>
      <c r="E19" s="6" t="inlineStr">
        <is>
          <t>'Billing Address' section on user dashboard hangs indefinitely</t>
        </is>
      </c>
      <c r="F19" s="6" t="inlineStr">
        <is>
          <t>Viewing the Billing Address tab on the user dashboard results in an infinite loader that never populates address fields.</t>
        </is>
      </c>
      <c r="G19" s="6" t="inlineStr">
        <is>
          <t>User is logged into account.</t>
        </is>
      </c>
      <c r="H19" s="6" t="inlineStr">
        <is>
          <t>1. Open https://academybugs.com/find-bugs/
2. Open a product and log in.
3. In sidebar menu, select 'Dashboard'.
4. Scroll up to the 'Billing Address' section.</t>
        </is>
      </c>
      <c r="I19" s="6" t="inlineStr">
        <is>
          <t>The Billing Address section displays appropriate address details promptly.</t>
        </is>
      </c>
      <c r="J19" s="6" t="inlineStr">
        <is>
          <t>The Billing Address section loads infinitely with unresolved spinner.</t>
        </is>
      </c>
      <c r="K19" s="8" t="inlineStr">
        <is>
          <t>Major</t>
        </is>
      </c>
      <c r="L19" s="8" t="inlineStr">
        <is>
          <t>P2 – Medium</t>
        </is>
      </c>
      <c r="M19" s="5" t="inlineStr">
        <is>
          <t>Every Time</t>
        </is>
      </c>
      <c r="N19" s="5" t="inlineStr">
        <is>
          <t>Open</t>
        </is>
      </c>
      <c r="O19" s="5" t="inlineStr">
        <is>
          <t>Windows 11 (64-bit) | Chrome 126.0, Firefox 128.0, Edge 126.0</t>
        </is>
      </c>
      <c r="P19" s="12">
        <f>HYPERLINK("https://academybugs.com/wp-content/uploads/2020/10/18.png", "View Full Screenshot")</f>
        <v/>
      </c>
      <c r="Q19" s="6" t="inlineStr">
        <is>
          <t>Unresolved AJAX promise prevents user from reviewing account addresses.</t>
        </is>
      </c>
    </row>
    <row r="20" ht="68" customHeight="1">
      <c r="A20" s="2" t="inlineStr">
        <is>
          <t>BUG_019</t>
        </is>
      </c>
      <c r="B20" s="2" t="inlineStr">
        <is>
          <t>TC_044</t>
        </is>
      </c>
      <c r="C20" s="2" t="inlineStr">
        <is>
          <t>Performance</t>
        </is>
      </c>
      <c r="D20" s="3" t="inlineStr">
        <is>
          <t>Catalog &amp; Navigation</t>
        </is>
      </c>
      <c r="E20" s="3" t="inlineStr">
        <is>
          <t>Clicking product link in 'Hot Item' sidebar widget results in infinite page hang</t>
        </is>
      </c>
      <c r="F20" s="3" t="inlineStr">
        <is>
          <t>Selecting the featured item inside the 'Hot Item' sidebar widget prevents the page from completing its navigation request.</t>
        </is>
      </c>
      <c r="G20" s="3" t="inlineStr">
        <is>
          <t>User is on a product details page with sidebar visible.</t>
        </is>
      </c>
      <c r="H20" s="3" t="inlineStr">
        <is>
          <t>1. Open https://academybugs.com/find-bugs/
2. Open any product.
3. In right sidebar, locate 'Hot Item' section.
4. Click on the product link in the Hot Item widget.</t>
        </is>
      </c>
      <c r="I20" s="3" t="inlineStr">
        <is>
          <t>The featured product page opens promptly within 1-2 seconds.</t>
        </is>
      </c>
      <c r="J20" s="3" t="inlineStr">
        <is>
          <t>The page loads infinitely and destination item content is never rendered.</t>
        </is>
      </c>
      <c r="K20" s="8" t="inlineStr">
        <is>
          <t>Major</t>
        </is>
      </c>
      <c r="L20" s="7" t="inlineStr">
        <is>
          <t>P1 – High</t>
        </is>
      </c>
      <c r="M20" s="2" t="inlineStr">
        <is>
          <t>Every Time</t>
        </is>
      </c>
      <c r="N20" s="2" t="inlineStr">
        <is>
          <t>Open</t>
        </is>
      </c>
      <c r="O20" s="2" t="inlineStr">
        <is>
          <t>Windows 11 (64-bit) | Chrome 126.0, Firefox 128.0, Edge 126.0</t>
        </is>
      </c>
      <c r="P20" s="11">
        <f>HYPERLINK("https://academybugs.com/wp-content/uploads/2020/10/19.png", "View Full Screenshot")</f>
        <v/>
      </c>
      <c r="Q20" s="3" t="inlineStr">
        <is>
          <t>Promotional navigation link is broken by infinite loading condition.</t>
        </is>
      </c>
    </row>
    <row r="21" ht="68" customHeight="1">
      <c r="A21" s="5" t="inlineStr">
        <is>
          <t>BUG_020</t>
        </is>
      </c>
      <c r="B21" s="5" t="inlineStr">
        <is>
          <t>TC_045</t>
        </is>
      </c>
      <c r="C21" s="5" t="inlineStr">
        <is>
          <t>Performance</t>
        </is>
      </c>
      <c r="D21" s="6" t="inlineStr">
        <is>
          <t>Product Details</t>
        </is>
      </c>
      <c r="E21" s="6" t="inlineStr">
        <is>
          <t>'My Space' social share window encounters unresolved infinite load</t>
        </is>
      </c>
      <c r="F21" s="6" t="inlineStr">
        <is>
          <t>Clicking the legacy MySpace sharing icon initiates a popup window that spins perpetually without reaching the destination service.</t>
        </is>
      </c>
      <c r="G21" s="6" t="inlineStr">
        <is>
          <t>User is on a product details page.</t>
        </is>
      </c>
      <c r="H21" s="6" t="inlineStr">
        <is>
          <t>1. Open https://academybugs.com/find-bugs/
2. Open a product.
3. Locate social share links.
4. Click the 'My Space' share icon.</t>
        </is>
      </c>
      <c r="I21" s="6" t="inlineStr">
        <is>
          <t>User is able to share product or receives standard response.</t>
        </is>
      </c>
      <c r="J21" s="6" t="inlineStr">
        <is>
          <t>My Space share window opens and loads infinitely without resolution.</t>
        </is>
      </c>
      <c r="K21" s="10" t="inlineStr">
        <is>
          <t>Minor</t>
        </is>
      </c>
      <c r="L21" s="10" t="inlineStr">
        <is>
          <t>P3 – Low</t>
        </is>
      </c>
      <c r="M21" s="5" t="inlineStr">
        <is>
          <t>Every Time</t>
        </is>
      </c>
      <c r="N21" s="5" t="inlineStr">
        <is>
          <t>Open</t>
        </is>
      </c>
      <c r="O21" s="5" t="inlineStr">
        <is>
          <t>Windows 11 (64-bit) | Chrome 126.0, Firefox 128.0, Edge 126.0</t>
        </is>
      </c>
      <c r="P21" s="12">
        <f>HYPERLINK("https://academybugs.com/wp-content/uploads/2020/10/20.png", "View Full Screenshot")</f>
        <v/>
      </c>
      <c r="Q21" s="6" t="inlineStr">
        <is>
          <t>Deprecated social integration endpoint hangs client popup.</t>
        </is>
      </c>
    </row>
    <row r="22" ht="68" customHeight="1">
      <c r="A22" s="2" t="inlineStr">
        <is>
          <t>BUG_021</t>
        </is>
      </c>
      <c r="B22" s="2" t="inlineStr">
        <is>
          <t>TC_046</t>
        </is>
      </c>
      <c r="C22" s="2" t="inlineStr">
        <is>
          <t>Crash</t>
        </is>
      </c>
      <c r="D22" s="3" t="inlineStr">
        <is>
          <t>Product Pricing &amp; Currency</t>
        </is>
      </c>
      <c r="E22" s="3" t="inlineStr">
        <is>
          <t>Changing store currency triggers JavaScript freeze and browser unresponsiveness</t>
        </is>
      </c>
      <c r="F22" s="3" t="inlineStr">
        <is>
          <t>Selecting an alternate currency from the sidebar currency dropdown causes an infinite script loop, freezing the browser tab completely.</t>
        </is>
      </c>
      <c r="G22" s="3" t="inlineStr">
        <is>
          <t>User is on a product details page with currency dropdown.</t>
        </is>
      </c>
      <c r="H22" s="3" t="inlineStr">
        <is>
          <t>1. Open https://academybugs.com/find-bugs/
2. Open a product.
3. In right sidebar menu, locate 'Currency' dropdown.
4. Select a different currency (e.g. EUR or GBP).</t>
        </is>
      </c>
      <c r="I22" s="3" t="inlineStr">
        <is>
          <t>Store currency updates smoothly and prices recompute without script errors.</t>
        </is>
      </c>
      <c r="J22" s="3" t="inlineStr">
        <is>
          <t>Active browser tab freezes completely; CPU locks up and 'Page Unresponsive' modal is thrown.</t>
        </is>
      </c>
      <c r="K22" s="4" t="inlineStr">
        <is>
          <t>Blocker</t>
        </is>
      </c>
      <c r="L22" s="4" t="inlineStr">
        <is>
          <t>P0 – Blocker</t>
        </is>
      </c>
      <c r="M22" s="2" t="inlineStr">
        <is>
          <t>Every Time</t>
        </is>
      </c>
      <c r="N22" s="2" t="inlineStr">
        <is>
          <t>Open</t>
        </is>
      </c>
      <c r="O22" s="2" t="inlineStr">
        <is>
          <t>Windows 11 (64-bit) | Chrome 126.0, Firefox 128.0, Edge 126.0</t>
        </is>
      </c>
      <c r="P22" s="11">
        <f>HYPERLINK("https://academybugs.com/wp-content/uploads/2020/10/22.png", "View Full Screenshot")</f>
        <v/>
      </c>
      <c r="Q22" s="3" t="inlineStr">
        <is>
          <t>Showstopper defect: fatal script execution crash requiring forced process termination.</t>
        </is>
      </c>
    </row>
    <row r="23" ht="68" customHeight="1">
      <c r="A23" s="5" t="inlineStr">
        <is>
          <t>BUG_022</t>
        </is>
      </c>
      <c r="B23" s="5" t="inlineStr">
        <is>
          <t>TC_047</t>
        </is>
      </c>
      <c r="C23" s="5" t="inlineStr">
        <is>
          <t>Crash</t>
        </is>
      </c>
      <c r="D23" s="6" t="inlineStr">
        <is>
          <t>Catalog Navigation</t>
        </is>
      </c>
      <c r="E23" s="6" t="inlineStr">
        <is>
          <t>Clicking results-per-page selector crashes the store catalog page</t>
        </is>
      </c>
      <c r="F23" s="6" t="inlineStr">
        <is>
          <t>Clicking on the per-page item count buttons (e.g. 10, 25, 50) at the top of the product grid crashes the view with an unresponsive script.</t>
        </is>
      </c>
      <c r="G23" s="6" t="inlineStr">
        <is>
          <t>User is on the Find Bugs catalog page.</t>
        </is>
      </c>
      <c r="H23" s="6" t="inlineStr">
        <is>
          <t>1. Open https://academybugs.com/find-bugs/
2. Locate result count selector buttons at top left of listing.
3. Click on any results count button (e.g. 10, 25, 50).</t>
        </is>
      </c>
      <c r="I23" s="6" t="inlineStr">
        <is>
          <t>Selected number of results is displayed cleanly according to button clicked.</t>
        </is>
      </c>
      <c r="J23" s="6" t="inlineStr">
        <is>
          <t>The page freezes immediately upon clicking result count buttons; interface becomes completely unresponsive.</t>
        </is>
      </c>
      <c r="K23" s="7" t="inlineStr">
        <is>
          <t>Critical</t>
        </is>
      </c>
      <c r="L23" s="7" t="inlineStr">
        <is>
          <t>P1 – High</t>
        </is>
      </c>
      <c r="M23" s="5" t="inlineStr">
        <is>
          <t>Every Time</t>
        </is>
      </c>
      <c r="N23" s="5" t="inlineStr">
        <is>
          <t>Open</t>
        </is>
      </c>
      <c r="O23" s="5" t="inlineStr">
        <is>
          <t>Windows 11 (64-bit) | Chrome 126.0, Firefox 128.0, Edge 126.0</t>
        </is>
      </c>
      <c r="P23" s="12">
        <f>HYPERLINK("https://academybugs.com/wp-content/uploads/2020/10/21.png", "View Full Screenshot")</f>
        <v/>
      </c>
      <c r="Q23" s="6" t="inlineStr">
        <is>
          <t>Catalog pagination crash blocks customer ability to view extended product listings.</t>
        </is>
      </c>
    </row>
    <row r="24" ht="68" customHeight="1">
      <c r="A24" s="2" t="inlineStr">
        <is>
          <t>BUG_023</t>
        </is>
      </c>
      <c r="B24" s="2" t="inlineStr">
        <is>
          <t>TC_048</t>
        </is>
      </c>
      <c r="C24" s="2" t="inlineStr">
        <is>
          <t>Crash</t>
        </is>
      </c>
      <c r="D24" s="3" t="inlineStr">
        <is>
          <t>Product Details</t>
        </is>
      </c>
      <c r="E24" s="3" t="inlineStr">
        <is>
          <t>Submitting product reply comment freezes the client page</t>
        </is>
      </c>
      <c r="F24" s="3" t="inlineStr">
        <is>
          <t>Clicking the 'Post Comment' button in the product comment form triggers an unhandled script freeze locking the active browser tab.</t>
        </is>
      </c>
      <c r="G24" s="3" t="inlineStr">
        <is>
          <t>User is on a product details page.</t>
        </is>
      </c>
      <c r="H24" s="3" t="inlineStr">
        <is>
          <t>1. Open https://academybugs.com/find-bugs/
2. Open any product.
3. Scroll down to 'Leave a Reply' section.
4. Fill in comment form (Name, Email, Comment text).
5. Click 'Post Comment' button.</t>
        </is>
      </c>
      <c r="I24" s="3" t="inlineStr">
        <is>
          <t>Comment is posted under the product with success notification.</t>
        </is>
      </c>
      <c r="J24" s="3" t="inlineStr">
        <is>
          <t>Active browser tab becomes completely unresponsive upon clicking 'Post Comment'; user must force reload.</t>
        </is>
      </c>
      <c r="K24" s="7" t="inlineStr">
        <is>
          <t>Critical</t>
        </is>
      </c>
      <c r="L24" s="7" t="inlineStr">
        <is>
          <t>P1 – High</t>
        </is>
      </c>
      <c r="M24" s="2" t="inlineStr">
        <is>
          <t>Every Time</t>
        </is>
      </c>
      <c r="N24" s="2" t="inlineStr">
        <is>
          <t>Open</t>
        </is>
      </c>
      <c r="O24" s="2" t="inlineStr">
        <is>
          <t>Windows 11 (64-bit) | Chrome 126.0, Firefox 128.0, Edge 126.0</t>
        </is>
      </c>
      <c r="P24" s="11">
        <f>HYPERLINK("https://academybugs.com/wp-content/uploads/2020/10/23.png", "View Full Screenshot")</f>
        <v/>
      </c>
      <c r="Q24" s="3" t="inlineStr">
        <is>
          <t>Unchecked infinite loop in comment validation / submit handler.</t>
        </is>
      </c>
    </row>
    <row r="25" ht="68" customHeight="1">
      <c r="A25" s="5" t="inlineStr">
        <is>
          <t>BUG_024</t>
        </is>
      </c>
      <c r="B25" s="5" t="inlineStr">
        <is>
          <t>TC_049</t>
        </is>
      </c>
      <c r="C25" s="5" t="inlineStr">
        <is>
          <t>Crash</t>
        </is>
      </c>
      <c r="D25" s="6" t="inlineStr">
        <is>
          <t>User Authentication</t>
        </is>
      </c>
      <c r="E25" s="6" t="inlineStr">
        <is>
          <t>Clicking 'Retrieve Password' button locks the interface and fails to send email</t>
        </is>
      </c>
      <c r="F25" s="6" t="inlineStr">
        <is>
          <t>Submitting an email address in the 'Forgot Your Password?' prompt causes client-side hang without sending recovery credentials.</t>
        </is>
      </c>
      <c r="G25" s="6" t="inlineStr">
        <is>
          <t>User is on password retrieval prompt.</t>
        </is>
      </c>
      <c r="H25" s="6" t="inlineStr">
        <is>
          <t>1. Open https://academybugs.com/find-bugs/
2. Open a product &gt; scroll to sidebar 'Your Account' &gt; click 'Sign Up'.
3. Click 'Forgot Your Password?'.
4. Enter email in field.
5. Click 'Retrieve Password' button.</t>
        </is>
      </c>
      <c r="I25" s="6" t="inlineStr">
        <is>
          <t>Password recovery link is dispatched and confirmation message displayed.</t>
        </is>
      </c>
      <c r="J25" s="6" t="inlineStr">
        <is>
          <t>Page becomes completely unresponsive upon clicking 'Retrieve Password' and no email is sent.</t>
        </is>
      </c>
      <c r="K25" s="7" t="inlineStr">
        <is>
          <t>Critical</t>
        </is>
      </c>
      <c r="L25" s="7" t="inlineStr">
        <is>
          <t>P1 – High</t>
        </is>
      </c>
      <c r="M25" s="5" t="inlineStr">
        <is>
          <t>Every Time</t>
        </is>
      </c>
      <c r="N25" s="5" t="inlineStr">
        <is>
          <t>Open</t>
        </is>
      </c>
      <c r="O25" s="5" t="inlineStr">
        <is>
          <t>Windows 11 (64-bit) | Chrome 126.0, Firefox 128.0, Edge 126.0</t>
        </is>
      </c>
      <c r="P25" s="12">
        <f>HYPERLINK("https://academybugs.com/wp-content/uploads/2020/10/24.png", "View Full Screenshot")</f>
        <v/>
      </c>
      <c r="Q25" s="6" t="inlineStr">
        <is>
          <t>Locks up locked-out users attempting account recovery.</t>
        </is>
      </c>
    </row>
    <row r="26" ht="68" customHeight="1">
      <c r="A26" s="2" t="inlineStr">
        <is>
          <t>BUG_025</t>
        </is>
      </c>
      <c r="B26" s="2" t="inlineStr">
        <is>
          <t>TC_050</t>
        </is>
      </c>
      <c r="C26" s="2" t="inlineStr">
        <is>
          <t>Crash</t>
        </is>
      </c>
      <c r="D26" s="3" t="inlineStr">
        <is>
          <t>Product Details</t>
        </is>
      </c>
      <c r="E26" s="3" t="inlineStr">
        <is>
          <t>Increasing product quantity when Green or Pink color is selected crashes browser tab</t>
        </is>
      </c>
      <c r="F26" s="3" t="inlineStr">
        <is>
          <t>On products with color variations, selecting 'Green' or 'Pink' and attempting to increment the quantity input causes an unrecoverable script freeze.</t>
        </is>
      </c>
      <c r="G26" s="3" t="inlineStr">
        <is>
          <t>User is on a product details page with color variants.</t>
        </is>
      </c>
      <c r="H26" s="3" t="inlineStr">
        <is>
          <t>1. Open https://academybugs.com/find-bugs/
2. Open a product with color options (e.g. Flamingo Tshirt / Blue Hoodie).
3. Choose 'Green' or 'Pink' color variant.
4. Increase quantity input by 1 or more using spin buttons or typing.</t>
        </is>
      </c>
      <c r="I26" s="3" t="inlineStr">
        <is>
          <t>Quantity is increased smoothly to desired value and line total recalculates.</t>
        </is>
      </c>
      <c r="J26" s="3" t="inlineStr">
        <is>
          <t>Active tab immediately crashes/freezes completely when increasing quantity with green or pink color selected.</t>
        </is>
      </c>
      <c r="K26" s="4" t="inlineStr">
        <is>
          <t>Blocker</t>
        </is>
      </c>
      <c r="L26" s="4" t="inlineStr">
        <is>
          <t>P0 – Blocker</t>
        </is>
      </c>
      <c r="M26" s="2" t="inlineStr">
        <is>
          <t>Every Time</t>
        </is>
      </c>
      <c r="N26" s="2" t="inlineStr">
        <is>
          <t>Open</t>
        </is>
      </c>
      <c r="O26" s="2" t="inlineStr">
        <is>
          <t>Windows 11 (64-bit) | Chrome 126.0, Firefox 128.0, Edge 126.0</t>
        </is>
      </c>
      <c r="P26" s="11">
        <f>HYPERLINK("https://academybugs.com/wp-content/uploads/2020/10/25.png", "View Full Screenshot")</f>
        <v/>
      </c>
      <c r="Q26" s="3" t="inlineStr">
        <is>
          <t>Critical showstopper: crash condition triggered during standard variant quantity selection.</t>
        </is>
      </c>
    </row>
  </sheetData>
  <autoFilter ref="A1:Q26"/>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2026-10-01T21:35:25Z</dcterms:created>
  <dcterms:modified xmlns:dcterms="http://purl.org/dc/terms/" xmlns:xsi="http://www.w3.org/2001/XMLSchema-instance" xsi:type="dcterms:W3CDTF">2026-10-01T21:35:26Z</dcterms:modified>
</cp:coreProperties>
</file>